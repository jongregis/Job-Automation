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ngregis/Python/JobAutomation/JobAutomation/"/>
    </mc:Choice>
  </mc:AlternateContent>
  <xr:revisionPtr revIDLastSave="0" documentId="13_ncr:1_{8442D924-E17C-8848-808E-051FA1B1A5C3}" xr6:coauthVersionLast="46" xr6:coauthVersionMax="46" xr10:uidLastSave="{00000000-0000-0000-0000-000000000000}"/>
  <bookViews>
    <workbookView xWindow="80" yWindow="1180" windowWidth="26800" windowHeight="15360" activeTab="1" xr2:uid="{00000000-000D-0000-FFFF-FFFF00000000}"/>
  </bookViews>
  <sheets>
    <sheet name="Settings" sheetId="1" r:id="rId1"/>
    <sheet name="Data" sheetId="2" r:id="rId2"/>
    <sheet name="Marksheet Template" sheetId="3" r:id="rId3"/>
    <sheet name="Setup" sheetId="4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3" l="1"/>
  <c r="F19" i="3" s="1"/>
  <c r="E16" i="3"/>
  <c r="E10" i="3"/>
  <c r="F7" i="3"/>
  <c r="H5" i="3"/>
</calcChain>
</file>

<file path=xl/sharedStrings.xml><?xml version="1.0" encoding="utf-8"?>
<sst xmlns="http://schemas.openxmlformats.org/spreadsheetml/2006/main" count="110" uniqueCount="52">
  <si>
    <t>Folder  Path:</t>
  </si>
  <si>
    <t>/Volumes/SanDisk Extreme SSD/Dropbox (ECA Consulting)/ECA Back Office/Lisa's Backup/Invoices/ILT Invoices</t>
  </si>
  <si>
    <t>Start Date</t>
  </si>
  <si>
    <t>Name</t>
  </si>
  <si>
    <t>Description</t>
  </si>
  <si>
    <t>School</t>
  </si>
  <si>
    <t>Invoice Number</t>
  </si>
  <si>
    <t>Total</t>
  </si>
  <si>
    <t>12/01/20</t>
  </si>
  <si>
    <t>Darrell Retherford</t>
  </si>
  <si>
    <t>project management professional</t>
  </si>
  <si>
    <t>CA AU</t>
  </si>
  <si>
    <t>Gertrudys Rondeau</t>
  </si>
  <si>
    <t>associate professional in human resoures</t>
  </si>
  <si>
    <t>12/02/20</t>
  </si>
  <si>
    <t>Enrique Mertins</t>
  </si>
  <si>
    <t>program management professional</t>
  </si>
  <si>
    <t>12/07/20</t>
  </si>
  <si>
    <t>Jonathan Anguiano</t>
  </si>
  <si>
    <t>(risk management professional) (pmi-rmp)</t>
  </si>
  <si>
    <t>12/09/20</t>
  </si>
  <si>
    <t>Aaron Clapsaddle</t>
  </si>
  <si>
    <t>12/14/20</t>
  </si>
  <si>
    <t>Anderson Okonkwo</t>
  </si>
  <si>
    <t>certified lean six sigma black belt</t>
  </si>
  <si>
    <t>CA LSUS</t>
  </si>
  <si>
    <t>12/17/20</t>
  </si>
  <si>
    <t>Carson Foote</t>
  </si>
  <si>
    <t>clinical medical asisstant</t>
  </si>
  <si>
    <t>12/16/20</t>
  </si>
  <si>
    <t>Natasha Williams</t>
  </si>
  <si>
    <t>ekg technician</t>
  </si>
  <si>
    <t>PSF Invoice</t>
  </si>
  <si>
    <t>1257 Water St</t>
  </si>
  <si>
    <t>Wrightsville, PA 17368</t>
  </si>
  <si>
    <t>(717) 487-0614</t>
  </si>
  <si>
    <t>paul.fears@psfinternational.com</t>
  </si>
  <si>
    <t>DATE:</t>
  </si>
  <si>
    <t>Name:</t>
  </si>
  <si>
    <t>Carly Phillips</t>
  </si>
  <si>
    <t>BROWARD</t>
  </si>
  <si>
    <t>Invoice Number:</t>
  </si>
  <si>
    <t>E-L 0015</t>
  </si>
  <si>
    <t>Due Date</t>
  </si>
  <si>
    <t>Tuition</t>
  </si>
  <si>
    <t>Percentage</t>
  </si>
  <si>
    <t>Line Total</t>
  </si>
  <si>
    <t>Phlebotomy Technician</t>
  </si>
  <si>
    <t>Payment Terms</t>
  </si>
  <si>
    <t>Due upon receipt</t>
  </si>
  <si>
    <t>Make All checks payable to PSF International, LLC</t>
  </si>
  <si>
    <t>THANK YOU FOR YOUR BUSINESS!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</si>
</sst>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[$-409]d\-mmm\-yy;@"/>
    <numFmt numFmtId="165" formatCode="m/d/yy;@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24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0"/>
      <color indexed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4"/>
      <color theme="1"/>
      <name val="Arial"/>
      <family val="2"/>
    </font>
    <font>
      <b/>
      <sz val="16"/>
      <color theme="1"/>
      <name val="Calibri"/>
      <family val="2"/>
      <scheme val="minor"/>
    </font>
    <font>
      <sz val="14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7"/>
        <bgColor indexed="64"/>
      </patternFill>
    </fill>
    <fill>
      <gradientFill degree="90">
        <stop position="0">
          <color theme="4" tint="0.40000610370189521"/>
        </stop>
        <stop position="1">
          <color rgb="FF00B0F0"/>
        </stop>
      </gradientFill>
    </fill>
    <fill>
      <gradientFill degree="270">
        <stop position="0">
          <color theme="7"/>
        </stop>
        <stop position="1">
          <color theme="7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 style="double">
        <color rgb="FF0070C0"/>
      </top>
      <bottom style="thin">
        <color rgb="FF0070C0"/>
      </bottom>
      <diagonal/>
    </border>
    <border>
      <left/>
      <right/>
      <top style="double">
        <color rgb="FF0070C0"/>
      </top>
      <bottom style="thin">
        <color rgb="FF0070C0"/>
      </bottom>
      <diagonal/>
    </border>
    <border>
      <left/>
      <right style="thin">
        <color rgb="FF0070C0"/>
      </right>
      <top style="double">
        <color rgb="FF0070C0"/>
      </top>
      <bottom style="thin">
        <color rgb="FF0070C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5">
    <xf numFmtId="0" fontId="0" fillId="0" borderId="0"/>
    <xf numFmtId="44" fontId="9" fillId="0" borderId="0"/>
    <xf numFmtId="0" fontId="10" fillId="0" borderId="0"/>
    <xf numFmtId="9" fontId="9" fillId="0" borderId="0"/>
    <xf numFmtId="44" fontId="9" fillId="0" borderId="0"/>
  </cellStyleXfs>
  <cellXfs count="59">
    <xf numFmtId="0" fontId="0" fillId="0" borderId="0" xfId="0"/>
    <xf numFmtId="0" fontId="3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5" fillId="0" borderId="11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2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6" borderId="17" xfId="0" applyFont="1" applyFill="1" applyBorder="1" applyAlignment="1">
      <alignment vertical="center"/>
    </xf>
    <xf numFmtId="0" fontId="6" fillId="6" borderId="18" xfId="0" applyFont="1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7" fillId="7" borderId="2" xfId="0" applyFont="1" applyFill="1" applyBorder="1" applyAlignment="1">
      <alignment horizontal="center" vertical="center"/>
    </xf>
    <xf numFmtId="0" fontId="0" fillId="7" borderId="7" xfId="0" applyFill="1" applyBorder="1"/>
    <xf numFmtId="0" fontId="0" fillId="7" borderId="0" xfId="0" applyFill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7" fillId="8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top"/>
    </xf>
    <xf numFmtId="0" fontId="0" fillId="0" borderId="0" xfId="0" applyAlignment="1">
      <alignment vertical="top"/>
    </xf>
    <xf numFmtId="0" fontId="3" fillId="2" borderId="2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0" xfId="0" applyFont="1"/>
    <xf numFmtId="0" fontId="3" fillId="2" borderId="21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0" fontId="4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0" fillId="0" borderId="0" xfId="0" applyNumberFormat="1"/>
    <xf numFmtId="0" fontId="13" fillId="0" borderId="0" xfId="2" applyFont="1" applyAlignment="1">
      <alignment horizontal="left" vertical="top"/>
    </xf>
    <xf numFmtId="0" fontId="14" fillId="0" borderId="0" xfId="0" applyFont="1" applyAlignment="1">
      <alignment horizontal="right" vertical="top"/>
    </xf>
    <xf numFmtId="164" fontId="14" fillId="0" borderId="0" xfId="0" applyNumberFormat="1" applyFont="1" applyAlignment="1">
      <alignment horizontal="center" vertical="top"/>
    </xf>
    <xf numFmtId="0" fontId="14" fillId="0" borderId="1" xfId="0" applyFont="1" applyBorder="1"/>
    <xf numFmtId="0" fontId="14" fillId="9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/>
    </xf>
    <xf numFmtId="0" fontId="15" fillId="4" borderId="11" xfId="0" applyFont="1" applyFill="1" applyBorder="1" applyAlignment="1">
      <alignment horizontal="center" vertical="center"/>
    </xf>
    <xf numFmtId="0" fontId="15" fillId="4" borderId="12" xfId="0" applyFont="1" applyFill="1" applyBorder="1" applyAlignment="1">
      <alignment horizontal="center" vertical="center"/>
    </xf>
    <xf numFmtId="0" fontId="15" fillId="4" borderId="13" xfId="0" applyFont="1" applyFill="1" applyBorder="1" applyAlignment="1">
      <alignment horizontal="center" vertical="center"/>
    </xf>
    <xf numFmtId="14" fontId="16" fillId="0" borderId="11" xfId="0" applyNumberFormat="1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9" fontId="16" fillId="0" borderId="12" xfId="3" applyFont="1" applyBorder="1" applyAlignment="1">
      <alignment horizontal="center" vertical="center"/>
    </xf>
    <xf numFmtId="9" fontId="14" fillId="9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horizontal="center"/>
    </xf>
    <xf numFmtId="0" fontId="18" fillId="10" borderId="0" xfId="0" applyFont="1" applyFill="1" applyAlignment="1">
      <alignment horizontal="center"/>
    </xf>
    <xf numFmtId="0" fontId="0" fillId="0" borderId="0" xfId="0"/>
    <xf numFmtId="165" fontId="14" fillId="9" borderId="1" xfId="0" applyNumberFormat="1" applyFont="1" applyFill="1" applyBorder="1" applyAlignment="1">
      <alignment horizontal="center"/>
    </xf>
    <xf numFmtId="7" fontId="16" fillId="0" borderId="13" xfId="4" applyNumberFormat="1" applyFont="1" applyBorder="1" applyAlignment="1">
      <alignment horizontal="center" vertical="center"/>
    </xf>
    <xf numFmtId="44" fontId="16" fillId="0" borderId="13" xfId="4" applyFont="1" applyBorder="1" applyAlignment="1">
      <alignment horizontal="center" vertical="center"/>
    </xf>
    <xf numFmtId="44" fontId="17" fillId="9" borderId="1" xfId="0" applyNumberFormat="1" applyFont="1" applyFill="1" applyBorder="1" applyAlignment="1">
      <alignment horizontal="center" vertical="center"/>
    </xf>
    <xf numFmtId="44" fontId="0" fillId="0" borderId="0" xfId="1" applyFont="1"/>
    <xf numFmtId="0" fontId="8" fillId="0" borderId="0" xfId="0" applyFont="1" applyAlignment="1">
      <alignment horizontal="right"/>
    </xf>
    <xf numFmtId="0" fontId="0" fillId="0" borderId="0" xfId="0"/>
    <xf numFmtId="0" fontId="4" fillId="5" borderId="0" xfId="0" applyFont="1" applyFill="1" applyAlignment="1">
      <alignment horizontal="center" vertical="center"/>
    </xf>
  </cellXfs>
  <cellStyles count="5">
    <cellStyle name="Currency" xfId="1" builtinId="4"/>
    <cellStyle name="Currency 2" xfId="4" xr:uid="{00000000-0005-0000-0000-000004000000}"/>
    <cellStyle name="Hyperlink 2" xfId="2" xr:uid="{00000000-0005-0000-0000-000002000000}"/>
    <cellStyle name="Normal" xfId="0" builtinId="0"/>
    <cellStyle name="Percent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542925</xdr:colOff>
      <xdr:row>6</xdr:row>
      <xdr:rowOff>114300</xdr:rowOff>
    </xdr:from>
    <xdr:to>
      <xdr:col>4</xdr:col>
      <xdr:colOff>864691</xdr:colOff>
      <xdr:row>11</xdr:row>
      <xdr:rowOff>76200</xdr:rowOff>
    </xdr:to>
    <xdr:pic macro="[0]!Create_Excel_Files">
      <xdr:nvPicPr>
        <xdr:cNvPr id="2" name="Picture 1" descr="Image result for excel ic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14525" y="1647825"/>
          <a:ext cx="931366" cy="9144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absolute">
    <xdr:from>
      <xdr:col>5</xdr:col>
      <xdr:colOff>695325</xdr:colOff>
      <xdr:row>6</xdr:row>
      <xdr:rowOff>114300</xdr:rowOff>
    </xdr:from>
    <xdr:to>
      <xdr:col>5</xdr:col>
      <xdr:colOff>1626691</xdr:colOff>
      <xdr:row>11</xdr:row>
      <xdr:rowOff>76200</xdr:rowOff>
    </xdr:to>
    <xdr:pic macro="[0]!Create_Word_Files">
      <xdr:nvPicPr>
        <xdr:cNvPr id="3" name="Picture 2" descr="Image result for word ic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724275" y="1647825"/>
          <a:ext cx="931366" cy="9144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absolute">
    <xdr:from>
      <xdr:col>5</xdr:col>
      <xdr:colOff>2505075</xdr:colOff>
      <xdr:row>6</xdr:row>
      <xdr:rowOff>114300</xdr:rowOff>
    </xdr:from>
    <xdr:to>
      <xdr:col>6</xdr:col>
      <xdr:colOff>49245</xdr:colOff>
      <xdr:row>11</xdr:row>
      <xdr:rowOff>76200</xdr:rowOff>
    </xdr:to>
    <xdr:pic macro="[0]!Create_PDF_Files">
      <xdr:nvPicPr>
        <xdr:cNvPr id="4" name="Picture 3" descr="Image result for pdf ic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534025" y="1647825"/>
          <a:ext cx="744570" cy="914400"/>
        </a:xfrm>
        <a:prstGeom prst="rect">
          <a:avLst/>
        </a:prstGeom>
        <a:noFill/>
        <a:ln>
          <a:prstDash val="solid"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YCAA%20Autom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Data"/>
      <sheetName val="Marksheet Template"/>
      <sheetName val="Setup"/>
    </sheetNames>
    <sheetDataSet>
      <sheetData sheetId="0"/>
      <sheetData sheetId="1"/>
      <sheetData sheetId="2"/>
      <sheetData sheetId="3">
        <row r="1">
          <cell r="A1" t="str">
            <v>Start Date</v>
          </cell>
          <cell r="B1" t="str">
            <v>Name</v>
          </cell>
          <cell r="C1" t="str">
            <v>Description</v>
          </cell>
        </row>
        <row r="2">
          <cell r="A2" t="str">
            <v>10/01/20</v>
          </cell>
          <cell r="B2" t="str">
            <v>Toneshia Harris</v>
          </cell>
          <cell r="C2" t="str">
            <v>project management professional (pmp)</v>
          </cell>
        </row>
        <row r="3">
          <cell r="A3" t="str">
            <v>10/02/20</v>
          </cell>
          <cell r="B3" t="str">
            <v>Taylor West</v>
          </cell>
          <cell r="C3" t="str">
            <v>clinical medical assistant</v>
          </cell>
        </row>
        <row r="4">
          <cell r="A4" t="str">
            <v>10/05/20</v>
          </cell>
          <cell r="B4" t="str">
            <v>Amanda Price</v>
          </cell>
          <cell r="C4" t="str">
            <v>photography entrepreneur with adobe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paul.fears@psfinternation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6"/>
  <sheetViews>
    <sheetView showGridLines="0" showRowColHeaders="0" workbookViewId="0">
      <selection activeCell="F4" sqref="F4"/>
    </sheetView>
  </sheetViews>
  <sheetFormatPr baseColWidth="10" defaultColWidth="0" defaultRowHeight="15" zeroHeight="1" x14ac:dyDescent="0.2"/>
  <cols>
    <col min="1" max="1" width="9.1640625" style="50" customWidth="1"/>
    <col min="2" max="2" width="6.1640625" style="50" customWidth="1"/>
    <col min="3" max="3" width="5.33203125" style="50" customWidth="1"/>
    <col min="4" max="4" width="9.1640625" style="50" customWidth="1"/>
    <col min="5" max="5" width="15.6640625" style="50" customWidth="1"/>
    <col min="6" max="6" width="48" style="50" customWidth="1"/>
    <col min="7" max="8" width="9.1640625" style="50" customWidth="1"/>
    <col min="9" max="12" width="9.1640625" style="50" hidden="1" customWidth="1"/>
    <col min="13" max="16384" width="9.1640625" style="50" hidden="1"/>
  </cols>
  <sheetData>
    <row r="1" spans="4:7" ht="45" customHeight="1" x14ac:dyDescent="0.2"/>
    <row r="2" spans="4:7" ht="16" customHeight="1" thickBot="1" x14ac:dyDescent="0.25"/>
    <row r="3" spans="4:7" x14ac:dyDescent="0.2">
      <c r="D3" s="12"/>
      <c r="E3" s="13"/>
      <c r="F3" s="13"/>
      <c r="G3" s="14"/>
    </row>
    <row r="4" spans="4:7" ht="15" customHeight="1" x14ac:dyDescent="0.2">
      <c r="D4" s="15"/>
      <c r="E4" s="16" t="s">
        <v>0</v>
      </c>
      <c r="F4" s="22" t="s">
        <v>1</v>
      </c>
      <c r="G4" s="17"/>
    </row>
    <row r="5" spans="4:7" ht="15" customHeight="1" x14ac:dyDescent="0.2">
      <c r="D5" s="15"/>
      <c r="E5" s="18"/>
      <c r="F5" s="18"/>
      <c r="G5" s="17"/>
    </row>
    <row r="6" spans="4:7" x14ac:dyDescent="0.2">
      <c r="D6" s="15"/>
      <c r="E6" s="18"/>
      <c r="F6" s="18"/>
      <c r="G6" s="17"/>
    </row>
    <row r="7" spans="4:7" x14ac:dyDescent="0.2">
      <c r="D7" s="15"/>
      <c r="E7" s="18"/>
      <c r="F7" s="18"/>
      <c r="G7" s="17"/>
    </row>
    <row r="8" spans="4:7" x14ac:dyDescent="0.2">
      <c r="D8" s="15"/>
      <c r="E8" s="18"/>
      <c r="F8" s="18"/>
      <c r="G8" s="17"/>
    </row>
    <row r="9" spans="4:7" x14ac:dyDescent="0.2">
      <c r="D9" s="15"/>
      <c r="E9" s="18"/>
      <c r="F9" s="18"/>
      <c r="G9" s="17"/>
    </row>
    <row r="10" spans="4:7" x14ac:dyDescent="0.2">
      <c r="D10" s="15"/>
      <c r="E10" s="18"/>
      <c r="F10" s="18"/>
      <c r="G10" s="17"/>
    </row>
    <row r="11" spans="4:7" x14ac:dyDescent="0.2">
      <c r="D11" s="15"/>
      <c r="E11" s="18"/>
      <c r="F11" s="18"/>
      <c r="G11" s="17"/>
    </row>
    <row r="12" spans="4:7" x14ac:dyDescent="0.2">
      <c r="D12" s="15"/>
      <c r="E12" s="18"/>
      <c r="F12" s="18"/>
      <c r="G12" s="17"/>
    </row>
    <row r="13" spans="4:7" x14ac:dyDescent="0.2">
      <c r="D13" s="15"/>
      <c r="E13" s="18"/>
      <c r="F13" s="18"/>
      <c r="G13" s="17"/>
    </row>
    <row r="14" spans="4:7" ht="16" customHeight="1" thickBot="1" x14ac:dyDescent="0.25">
      <c r="D14" s="19"/>
      <c r="E14" s="20"/>
      <c r="F14" s="20"/>
      <c r="G14" s="21"/>
    </row>
    <row r="16" spans="4:7" x14ac:dyDescent="0.2">
      <c r="F16" s="56"/>
      <c r="G16" s="57"/>
    </row>
  </sheetData>
  <mergeCells count="1">
    <mergeCell ref="F16:G1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9"/>
  <sheetViews>
    <sheetView showGridLines="0" tabSelected="1" workbookViewId="0">
      <selection activeCell="I18" sqref="I18"/>
    </sheetView>
  </sheetViews>
  <sheetFormatPr baseColWidth="10" defaultColWidth="8.83203125" defaultRowHeight="15" outlineLevelCol="1" x14ac:dyDescent="0.2"/>
  <cols>
    <col min="1" max="1" width="17.6640625" style="50" customWidth="1"/>
    <col min="2" max="2" width="14.1640625" style="50" customWidth="1"/>
    <col min="3" max="3" width="15" style="50" customWidth="1"/>
    <col min="4" max="4" width="23.83203125" style="50" customWidth="1"/>
    <col min="5" max="6" width="15.6640625" style="50" customWidth="1" outlineLevel="1"/>
  </cols>
  <sheetData>
    <row r="1" spans="1:7" ht="15" customHeight="1" x14ac:dyDescent="0.2">
      <c r="A1" s="1" t="s">
        <v>2</v>
      </c>
      <c r="B1" s="1" t="s">
        <v>3</v>
      </c>
      <c r="C1" s="1" t="s">
        <v>4</v>
      </c>
      <c r="D1" s="1" t="s">
        <v>5</v>
      </c>
      <c r="E1" s="2" t="s">
        <v>6</v>
      </c>
      <c r="F1" s="29" t="s">
        <v>7</v>
      </c>
      <c r="G1" s="28"/>
    </row>
    <row r="2" spans="1:7" x14ac:dyDescent="0.2">
      <c r="A2" t="s">
        <v>8</v>
      </c>
      <c r="B2" t="s">
        <v>9</v>
      </c>
      <c r="C2" t="s">
        <v>10</v>
      </c>
      <c r="D2" t="s">
        <v>11</v>
      </c>
      <c r="E2">
        <v>42</v>
      </c>
      <c r="F2">
        <v>2625</v>
      </c>
    </row>
    <row r="3" spans="1:7" x14ac:dyDescent="0.2">
      <c r="A3" t="s">
        <v>8</v>
      </c>
      <c r="B3" t="s">
        <v>12</v>
      </c>
      <c r="C3" t="s">
        <v>13</v>
      </c>
      <c r="D3" t="s">
        <v>11</v>
      </c>
      <c r="E3">
        <v>43</v>
      </c>
      <c r="F3">
        <v>2250</v>
      </c>
    </row>
    <row r="4" spans="1:7" x14ac:dyDescent="0.2">
      <c r="A4" t="s">
        <v>14</v>
      </c>
      <c r="B4" t="s">
        <v>15</v>
      </c>
      <c r="C4" t="s">
        <v>16</v>
      </c>
      <c r="D4" t="s">
        <v>11</v>
      </c>
      <c r="E4">
        <v>44</v>
      </c>
      <c r="F4">
        <v>2625</v>
      </c>
    </row>
    <row r="5" spans="1:7" x14ac:dyDescent="0.2">
      <c r="A5" t="s">
        <v>17</v>
      </c>
      <c r="B5" t="s">
        <v>18</v>
      </c>
      <c r="C5" t="s">
        <v>19</v>
      </c>
      <c r="D5" t="s">
        <v>11</v>
      </c>
      <c r="E5">
        <v>45</v>
      </c>
      <c r="F5">
        <v>2250</v>
      </c>
    </row>
    <row r="6" spans="1:7" x14ac:dyDescent="0.2">
      <c r="A6" t="s">
        <v>20</v>
      </c>
      <c r="B6" t="s">
        <v>21</v>
      </c>
      <c r="C6" t="s">
        <v>16</v>
      </c>
      <c r="D6" t="s">
        <v>11</v>
      </c>
      <c r="E6">
        <v>46</v>
      </c>
      <c r="F6">
        <v>2625</v>
      </c>
    </row>
    <row r="7" spans="1:7" x14ac:dyDescent="0.2">
      <c r="A7" t="s">
        <v>22</v>
      </c>
      <c r="B7" t="s">
        <v>23</v>
      </c>
      <c r="C7" t="s">
        <v>24</v>
      </c>
      <c r="D7" t="s">
        <v>25</v>
      </c>
      <c r="E7">
        <v>47</v>
      </c>
      <c r="F7">
        <v>1702</v>
      </c>
    </row>
    <row r="8" spans="1:7" x14ac:dyDescent="0.2">
      <c r="A8" t="s">
        <v>26</v>
      </c>
      <c r="B8" t="s">
        <v>27</v>
      </c>
      <c r="C8" t="s">
        <v>28</v>
      </c>
      <c r="D8" t="s">
        <v>11</v>
      </c>
      <c r="E8">
        <v>48</v>
      </c>
      <c r="F8">
        <v>1405</v>
      </c>
    </row>
    <row r="9" spans="1:7" x14ac:dyDescent="0.2">
      <c r="A9" t="s">
        <v>29</v>
      </c>
      <c r="B9" t="s">
        <v>30</v>
      </c>
      <c r="C9" t="s">
        <v>31</v>
      </c>
      <c r="D9" t="s">
        <v>11</v>
      </c>
      <c r="E9">
        <v>49</v>
      </c>
      <c r="F9">
        <v>1250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3"/>
  <sheetViews>
    <sheetView showGridLines="0" workbookViewId="0">
      <selection activeCell="D4" sqref="D4:D5"/>
    </sheetView>
  </sheetViews>
  <sheetFormatPr baseColWidth="10" defaultColWidth="8.83203125" defaultRowHeight="15" x14ac:dyDescent="0.2"/>
  <cols>
    <col min="1" max="1" width="3.5" style="50" customWidth="1"/>
    <col min="2" max="2" width="20.6640625" style="50" customWidth="1"/>
    <col min="3" max="3" width="49.1640625" style="50" customWidth="1"/>
    <col min="4" max="4" width="15.5" style="50" customWidth="1"/>
    <col min="5" max="5" width="22.33203125" style="50" customWidth="1"/>
    <col min="6" max="6" width="22.5" style="50" customWidth="1"/>
    <col min="7" max="7" width="10.5" style="50" customWidth="1"/>
    <col min="8" max="8" width="11.1640625" style="50" customWidth="1"/>
  </cols>
  <sheetData>
    <row r="1" spans="1:8" ht="30" customHeight="1" x14ac:dyDescent="0.2">
      <c r="A1" s="58" t="s">
        <v>32</v>
      </c>
      <c r="B1" s="57"/>
      <c r="C1" s="57"/>
      <c r="D1" s="57"/>
      <c r="E1" s="57"/>
      <c r="F1" s="57"/>
      <c r="G1" s="57"/>
    </row>
    <row r="2" spans="1:8" ht="19" customHeight="1" x14ac:dyDescent="0.2">
      <c r="A2" s="31"/>
      <c r="B2" s="32" t="s">
        <v>33</v>
      </c>
      <c r="C2" s="31"/>
      <c r="D2" s="31"/>
      <c r="E2" s="31"/>
      <c r="F2" s="31"/>
      <c r="G2" s="31"/>
    </row>
    <row r="3" spans="1:8" ht="17" customHeight="1" x14ac:dyDescent="0.2">
      <c r="A3" s="31"/>
      <c r="B3" s="32" t="s">
        <v>34</v>
      </c>
      <c r="C3" s="31"/>
      <c r="D3" s="31"/>
      <c r="E3" s="31"/>
      <c r="F3" s="31"/>
      <c r="G3" s="31"/>
      <c r="H3" s="33"/>
    </row>
    <row r="4" spans="1:8" ht="17" customHeight="1" x14ac:dyDescent="0.2">
      <c r="A4" s="31"/>
      <c r="B4" s="32" t="s">
        <v>35</v>
      </c>
      <c r="C4" s="31"/>
      <c r="D4" s="31"/>
      <c r="E4" s="31"/>
      <c r="F4" s="31"/>
      <c r="G4" s="31"/>
    </row>
    <row r="5" spans="1:8" s="24" customFormat="1" ht="39" customHeight="1" x14ac:dyDescent="0.2">
      <c r="A5" s="23"/>
      <c r="B5" s="34" t="s">
        <v>36</v>
      </c>
      <c r="C5" s="23"/>
      <c r="D5" s="23"/>
      <c r="E5" s="23"/>
      <c r="F5" s="23"/>
      <c r="G5" s="35" t="s">
        <v>37</v>
      </c>
      <c r="H5" s="36">
        <f ca="1">TODAY()</f>
        <v>44180</v>
      </c>
    </row>
    <row r="6" spans="1:8" ht="22" customHeight="1" x14ac:dyDescent="0.25">
      <c r="B6" s="37" t="s">
        <v>38</v>
      </c>
      <c r="C6" s="38" t="s">
        <v>39</v>
      </c>
      <c r="E6" s="37" t="s">
        <v>5</v>
      </c>
      <c r="F6" s="39" t="s">
        <v>40</v>
      </c>
    </row>
    <row r="7" spans="1:8" ht="23" customHeight="1" x14ac:dyDescent="0.25">
      <c r="B7" s="37" t="s">
        <v>41</v>
      </c>
      <c r="C7" s="38" t="s">
        <v>42</v>
      </c>
      <c r="E7" s="37" t="s">
        <v>43</v>
      </c>
      <c r="F7" s="51">
        <f>EDATE(B10,1)</f>
        <v>43934</v>
      </c>
    </row>
    <row r="9" spans="1:8" ht="21.75" customHeight="1" x14ac:dyDescent="0.2">
      <c r="B9" s="40" t="s">
        <v>2</v>
      </c>
      <c r="C9" s="41" t="s">
        <v>4</v>
      </c>
      <c r="D9" s="41" t="s">
        <v>44</v>
      </c>
      <c r="E9" s="41" t="s">
        <v>45</v>
      </c>
      <c r="F9" s="42" t="s">
        <v>46</v>
      </c>
    </row>
    <row r="10" spans="1:8" ht="21.75" customHeight="1" x14ac:dyDescent="0.2">
      <c r="B10" s="43">
        <v>43903</v>
      </c>
      <c r="C10" s="44" t="s">
        <v>47</v>
      </c>
      <c r="D10" s="44"/>
      <c r="E10" s="45" t="str">
        <f>IF(F6="MET",25%,IF(F6="AU ED4",25%,IF(F6="UWLAX",30%,IF(F6="CSU",25%,IF(F6="AU M",25%,"")))))</f>
        <v/>
      </c>
      <c r="F10" s="52">
        <v>577.15</v>
      </c>
    </row>
    <row r="11" spans="1:8" ht="21.75" customHeight="1" x14ac:dyDescent="0.2">
      <c r="B11" s="3"/>
      <c r="C11" s="44"/>
      <c r="D11" s="5"/>
      <c r="E11" s="5"/>
      <c r="F11" s="53"/>
    </row>
    <row r="12" spans="1:8" ht="21.75" customHeight="1" x14ac:dyDescent="0.2">
      <c r="B12" s="3"/>
      <c r="C12" s="5"/>
      <c r="D12" s="5"/>
      <c r="E12" s="5"/>
      <c r="F12" s="7"/>
    </row>
    <row r="13" spans="1:8" ht="21.75" customHeight="1" x14ac:dyDescent="0.2">
      <c r="B13" s="3"/>
      <c r="C13" s="5"/>
      <c r="D13" s="5"/>
      <c r="E13" s="5"/>
      <c r="F13" s="7"/>
    </row>
    <row r="14" spans="1:8" ht="21.75" customHeight="1" x14ac:dyDescent="0.2">
      <c r="B14" s="3"/>
      <c r="C14" s="5"/>
      <c r="D14" s="5"/>
      <c r="E14" s="5"/>
      <c r="F14" s="7"/>
    </row>
    <row r="15" spans="1:8" ht="21.75" customHeight="1" thickBot="1" x14ac:dyDescent="0.25">
      <c r="B15" s="4"/>
      <c r="C15" s="6"/>
      <c r="D15" s="6"/>
      <c r="E15" s="6"/>
      <c r="F15" s="8"/>
    </row>
    <row r="16" spans="1:8" ht="21.75" customHeight="1" thickTop="1" x14ac:dyDescent="0.2">
      <c r="B16" s="9"/>
      <c r="C16" s="10"/>
      <c r="D16" s="10"/>
      <c r="E16" s="10" t="str">
        <f>IFERROR(VLOOKUP(D16/C16,[1]Setup!$A$1:$C$4,2,1),"")</f>
        <v/>
      </c>
      <c r="F16" s="11" t="str">
        <f>IFERROR(VLOOKUP(D16/C16,[1]Setup!$A$1:$C$4,3,1),"")</f>
        <v/>
      </c>
    </row>
    <row r="19" spans="2:6" ht="21" customHeight="1" x14ac:dyDescent="0.25">
      <c r="B19" s="37" t="s">
        <v>48</v>
      </c>
      <c r="C19" s="46" t="s">
        <v>49</v>
      </c>
      <c r="D19" s="47"/>
      <c r="E19" s="37" t="s">
        <v>7</v>
      </c>
      <c r="F19" s="54">
        <f>SUM(F10:F18)</f>
        <v>577.15</v>
      </c>
    </row>
    <row r="22" spans="2:6" ht="19" customHeight="1" x14ac:dyDescent="0.25">
      <c r="B22" s="48"/>
      <c r="C22" s="49" t="s">
        <v>50</v>
      </c>
      <c r="D22" s="48"/>
      <c r="E22" s="26"/>
      <c r="F22" s="48"/>
    </row>
    <row r="23" spans="2:6" ht="19" customHeight="1" x14ac:dyDescent="0.25">
      <c r="C23" s="49" t="s">
        <v>51</v>
      </c>
    </row>
  </sheetData>
  <mergeCells count="1">
    <mergeCell ref="A1:G1"/>
  </mergeCells>
  <hyperlinks>
    <hyperlink ref="B5" r:id="rId1" xr:uid="{00000000-0004-0000-0200-000000000000}"/>
  </hyperlinks>
  <pageMargins left="0.7" right="0.7" top="0.75" bottom="0.75" header="0.3" footer="0.3"/>
  <pageSetup paperSize="8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G25"/>
  <sheetViews>
    <sheetView showGridLines="0" workbookViewId="0">
      <selection activeCell="C23" sqref="C23"/>
    </sheetView>
  </sheetViews>
  <sheetFormatPr baseColWidth="10" defaultColWidth="8.83203125" defaultRowHeight="15" x14ac:dyDescent="0.2"/>
  <cols>
    <col min="1" max="1" width="17" style="50" customWidth="1"/>
    <col min="2" max="2" width="22.83203125" style="50" customWidth="1"/>
    <col min="3" max="3" width="44.5" style="50" customWidth="1"/>
    <col min="4" max="4" width="26.83203125" style="50" customWidth="1"/>
    <col min="5" max="5" width="20" style="50" customWidth="1"/>
    <col min="6" max="6" width="25.83203125" style="50" customWidth="1"/>
  </cols>
  <sheetData>
    <row r="1" spans="1:7" ht="15" customHeight="1" x14ac:dyDescent="0.2">
      <c r="A1" s="25" t="s">
        <v>2</v>
      </c>
      <c r="B1" s="25" t="s">
        <v>3</v>
      </c>
      <c r="C1" s="25" t="s">
        <v>4</v>
      </c>
      <c r="D1" s="25" t="s">
        <v>5</v>
      </c>
      <c r="E1" s="2" t="s">
        <v>6</v>
      </c>
      <c r="F1" s="2" t="s">
        <v>7</v>
      </c>
    </row>
    <row r="2" spans="1:7" x14ac:dyDescent="0.2">
      <c r="A2" t="s">
        <v>8</v>
      </c>
      <c r="B2" t="s">
        <v>9</v>
      </c>
      <c r="C2" t="s">
        <v>10</v>
      </c>
      <c r="D2" t="s">
        <v>11</v>
      </c>
      <c r="E2">
        <v>42</v>
      </c>
      <c r="F2">
        <v>2625</v>
      </c>
      <c r="G2" t="s">
        <v>9</v>
      </c>
    </row>
    <row r="3" spans="1:7" x14ac:dyDescent="0.2">
      <c r="A3" t="s">
        <v>8</v>
      </c>
      <c r="B3" t="s">
        <v>12</v>
      </c>
      <c r="C3" t="s">
        <v>13</v>
      </c>
      <c r="D3" t="s">
        <v>11</v>
      </c>
      <c r="E3">
        <v>43</v>
      </c>
      <c r="F3">
        <v>2250</v>
      </c>
      <c r="G3" t="s">
        <v>12</v>
      </c>
    </row>
    <row r="4" spans="1:7" x14ac:dyDescent="0.2">
      <c r="A4" t="s">
        <v>14</v>
      </c>
      <c r="B4" t="s">
        <v>15</v>
      </c>
      <c r="C4" t="s">
        <v>16</v>
      </c>
      <c r="D4" t="s">
        <v>11</v>
      </c>
      <c r="E4">
        <v>44</v>
      </c>
      <c r="F4">
        <v>2625</v>
      </c>
      <c r="G4" t="s">
        <v>15</v>
      </c>
    </row>
    <row r="5" spans="1:7" x14ac:dyDescent="0.2">
      <c r="A5" t="s">
        <v>17</v>
      </c>
      <c r="B5" t="s">
        <v>18</v>
      </c>
      <c r="C5" t="s">
        <v>19</v>
      </c>
      <c r="D5" t="s">
        <v>11</v>
      </c>
      <c r="E5">
        <v>45</v>
      </c>
      <c r="F5">
        <v>2250</v>
      </c>
      <c r="G5" t="s">
        <v>18</v>
      </c>
    </row>
    <row r="6" spans="1:7" x14ac:dyDescent="0.2">
      <c r="A6" t="s">
        <v>20</v>
      </c>
      <c r="B6" t="s">
        <v>21</v>
      </c>
      <c r="C6" t="s">
        <v>16</v>
      </c>
      <c r="D6" t="s">
        <v>11</v>
      </c>
      <c r="E6">
        <v>46</v>
      </c>
      <c r="F6">
        <v>2625</v>
      </c>
      <c r="G6" t="s">
        <v>21</v>
      </c>
    </row>
    <row r="7" spans="1:7" x14ac:dyDescent="0.2">
      <c r="A7" t="s">
        <v>22</v>
      </c>
      <c r="B7" t="s">
        <v>23</v>
      </c>
      <c r="C7" t="s">
        <v>24</v>
      </c>
      <c r="D7" t="s">
        <v>25</v>
      </c>
      <c r="E7">
        <v>47</v>
      </c>
      <c r="F7">
        <v>2250</v>
      </c>
      <c r="G7" t="s">
        <v>23</v>
      </c>
    </row>
    <row r="8" spans="1:7" x14ac:dyDescent="0.2">
      <c r="A8" t="s">
        <v>26</v>
      </c>
      <c r="B8" t="s">
        <v>27</v>
      </c>
      <c r="C8" t="s">
        <v>28</v>
      </c>
      <c r="D8" t="s">
        <v>11</v>
      </c>
      <c r="E8">
        <v>48</v>
      </c>
      <c r="F8">
        <v>2962.5</v>
      </c>
      <c r="G8" t="s">
        <v>27</v>
      </c>
    </row>
    <row r="9" spans="1:7" x14ac:dyDescent="0.2">
      <c r="A9" t="s">
        <v>29</v>
      </c>
      <c r="B9" t="s">
        <v>30</v>
      </c>
      <c r="C9" t="s">
        <v>31</v>
      </c>
      <c r="D9" t="s">
        <v>11</v>
      </c>
      <c r="E9">
        <v>49</v>
      </c>
      <c r="F9">
        <v>2250</v>
      </c>
      <c r="G9" t="s">
        <v>30</v>
      </c>
    </row>
    <row r="10" spans="1:7" x14ac:dyDescent="0.2">
      <c r="A10" s="30"/>
      <c r="E10" s="26"/>
      <c r="F10" s="55"/>
    </row>
    <row r="11" spans="1:7" x14ac:dyDescent="0.2">
      <c r="A11" s="30"/>
      <c r="E11" s="26"/>
      <c r="F11" s="55"/>
    </row>
    <row r="12" spans="1:7" x14ac:dyDescent="0.2">
      <c r="A12" s="30"/>
      <c r="E12" s="26"/>
      <c r="F12" s="55"/>
    </row>
    <row r="13" spans="1:7" x14ac:dyDescent="0.2">
      <c r="A13" s="30"/>
      <c r="E13" s="26"/>
      <c r="F13" s="55"/>
    </row>
    <row r="14" spans="1:7" x14ac:dyDescent="0.2">
      <c r="A14" s="30"/>
      <c r="E14" s="26"/>
      <c r="F14" s="55"/>
    </row>
    <row r="15" spans="1:7" x14ac:dyDescent="0.2">
      <c r="A15" s="30"/>
      <c r="D15" s="27"/>
      <c r="E15" s="26"/>
      <c r="F15" s="55"/>
    </row>
    <row r="16" spans="1:7" x14ac:dyDescent="0.2">
      <c r="A16" s="30"/>
      <c r="E16" s="26"/>
      <c r="F16" s="55"/>
    </row>
    <row r="17" spans="1:7" x14ac:dyDescent="0.2">
      <c r="A17" s="30"/>
      <c r="E17" s="26"/>
      <c r="F17" s="55"/>
      <c r="G17" s="55"/>
    </row>
    <row r="18" spans="1:7" x14ac:dyDescent="0.2">
      <c r="A18" s="30"/>
      <c r="E18" s="26"/>
      <c r="F18" s="55"/>
      <c r="G18" s="55"/>
    </row>
    <row r="19" spans="1:7" x14ac:dyDescent="0.2">
      <c r="A19" s="30"/>
      <c r="D19" s="27"/>
      <c r="E19" s="26"/>
      <c r="F19" s="55"/>
      <c r="G19" s="55"/>
    </row>
    <row r="20" spans="1:7" x14ac:dyDescent="0.2">
      <c r="A20" s="30"/>
      <c r="E20" s="26"/>
      <c r="F20" s="55"/>
    </row>
    <row r="21" spans="1:7" x14ac:dyDescent="0.2">
      <c r="A21" s="30"/>
      <c r="E21" s="26"/>
      <c r="F21" s="55"/>
    </row>
    <row r="22" spans="1:7" x14ac:dyDescent="0.2">
      <c r="A22" s="30"/>
      <c r="D22" s="27"/>
      <c r="E22" s="26"/>
      <c r="F22" s="55"/>
    </row>
    <row r="23" spans="1:7" x14ac:dyDescent="0.2">
      <c r="A23" s="30"/>
      <c r="E23" s="26"/>
      <c r="F23" s="55"/>
    </row>
    <row r="24" spans="1:7" x14ac:dyDescent="0.2">
      <c r="A24" s="30"/>
      <c r="E24" s="26"/>
      <c r="F24" s="55"/>
    </row>
    <row r="25" spans="1:7" x14ac:dyDescent="0.2">
      <c r="A25" s="30"/>
      <c r="E25" s="26"/>
      <c r="F25" s="5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Settings</vt:lpstr>
      <vt:lpstr>Data</vt:lpstr>
      <vt:lpstr>Marksheet Template</vt:lpstr>
      <vt:lpstr>Setup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Priyendra.Kumar</dc:creator>
  <cp:lastModifiedBy>Jon Gregis</cp:lastModifiedBy>
  <cp:lastPrinted>2020-03-26T00:02:10Z</cp:lastPrinted>
  <dcterms:created xsi:type="dcterms:W3CDTF">2019-10-27T11:35:05Z</dcterms:created>
  <dcterms:modified xsi:type="dcterms:W3CDTF">2020-12-16T04:18:43Z</dcterms:modified>
</cp:coreProperties>
</file>