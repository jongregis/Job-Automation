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960" yWindow="1180" windowWidth="26800" windowHeight="15360" tabRatio="600" firstSheet="0" activeTab="1" autoFilterDateGrouping="1"/>
  </bookViews>
  <sheets>
    <sheet xmlns:r="http://schemas.openxmlformats.org/officeDocument/2006/relationships" name="Settings" sheetId="1" state="visible" r:id="rId1"/>
    <sheet xmlns:r="http://schemas.openxmlformats.org/officeDocument/2006/relationships" name="Data" sheetId="2" state="visible" r:id="rId2"/>
    <sheet xmlns:r="http://schemas.openxmlformats.org/officeDocument/2006/relationships" name="Marksheet Template" sheetId="3" state="visible" r:id="rId3"/>
    <sheet xmlns:r="http://schemas.openxmlformats.org/officeDocument/2006/relationships" name="Setup" sheetId="4" state="visible" r:id="rId4"/>
  </sheets>
  <externalReferences>
    <externalReference xmlns:r="http://schemas.openxmlformats.org/officeDocument/2006/relationships" r:id="rId5"/>
  </externalReference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;@"/>
    <numFmt numFmtId="165" formatCode="m/d/yy;@"/>
    <numFmt numFmtId="166" formatCode="yyyy\-mm\-dd\ h:mm:ss"/>
    <numFmt numFmtId="167" formatCode="&quot;$&quot;#,##0.00_);\(&quot;$&quot;#,##0.00\)"/>
    <numFmt numFmtId="168" formatCode="_(&quot;$&quot;* #,##0.00_);_(&quot;$&quot;* \(#,##0.00\);_(&quot;$&quot;* &quot;-&quot;??_);_(@_)"/>
  </numFmts>
  <fonts count="19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indexed="9"/>
      <sz val="11"/>
      <scheme val="minor"/>
    </font>
    <font>
      <name val="Arial"/>
      <family val="2"/>
      <b val="1"/>
      <color theme="1"/>
      <sz val="24"/>
    </font>
    <font>
      <name val="Arial"/>
      <family val="2"/>
      <color theme="1"/>
      <sz val="11"/>
    </font>
    <font>
      <name val="Arial"/>
      <family val="2"/>
      <b val="1"/>
      <color theme="1"/>
      <sz val="11"/>
    </font>
    <font>
      <name val="Calibri"/>
      <family val="2"/>
      <b val="1"/>
      <color indexed="8"/>
      <sz val="10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i val="1"/>
      <color theme="1"/>
      <sz val="11"/>
      <scheme val="minor"/>
    </font>
    <font>
      <name val="Arial"/>
      <family val="2"/>
      <b val="1"/>
      <color theme="1"/>
      <sz val="14"/>
    </font>
    <font>
      <name val="Calibri"/>
      <family val="2"/>
      <color theme="10"/>
      <sz val="14"/>
      <u val="single"/>
      <scheme val="minor"/>
    </font>
    <font>
      <name val="Calibri"/>
      <family val="2"/>
      <b val="1"/>
      <color theme="1"/>
      <sz val="14"/>
      <scheme val="minor"/>
    </font>
    <font>
      <name val="Arial"/>
      <family val="2"/>
      <b val="1"/>
      <color theme="0"/>
      <sz val="14"/>
    </font>
    <font>
      <name val="Arial"/>
      <family val="2"/>
      <color theme="1"/>
      <sz val="14"/>
    </font>
    <font>
      <name val="Calibri"/>
      <family val="2"/>
      <b val="1"/>
      <color theme="1"/>
      <sz val="16"/>
      <scheme val="minor"/>
    </font>
    <font>
      <name val="Calibri"/>
      <family val="2"/>
      <color theme="0"/>
      <sz val="14"/>
      <scheme val="minor"/>
    </font>
  </fonts>
  <fills count="11">
    <fill>
      <patternFill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gradientFill type="linear" degree="90">
        <stop position="0">
          <color theme="4" tint="0.4000061037018952"/>
        </stop>
        <stop position="1">
          <color rgb="FF00B0F0"/>
        </stop>
      </gradientFill>
    </fill>
    <fill>
      <gradientFill type="linear" degree="270">
        <stop position="0">
          <color theme="7"/>
        </stop>
        <stop position="1">
          <color theme="7" tint="0.5999938962981048"/>
        </stop>
      </gradient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2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double">
        <color rgb="FF0070C0"/>
      </top>
      <bottom style="thin">
        <color rgb="FF0070C0"/>
      </bottom>
      <diagonal/>
    </border>
    <border>
      <left/>
      <right/>
      <top style="double">
        <color rgb="FF0070C0"/>
      </top>
      <bottom style="thin">
        <color rgb="FF0070C0"/>
      </bottom>
      <diagonal/>
    </border>
    <border>
      <left/>
      <right style="thin">
        <color rgb="FF0070C0"/>
      </right>
      <top style="double">
        <color rgb="FF0070C0"/>
      </top>
      <bottom style="thin">
        <color rgb="FF0070C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5">
    <xf numFmtId="0" fontId="9" fillId="0" borderId="0"/>
    <xf numFmtId="44" fontId="9" fillId="0" borderId="0"/>
    <xf numFmtId="0" fontId="10" fillId="0" borderId="0"/>
    <xf numFmtId="9" fontId="9" fillId="0" borderId="0"/>
    <xf numFmtId="44" fontId="9" fillId="0" borderId="0"/>
  </cellStyleXfs>
  <cellXfs count="64">
    <xf numFmtId="0" fontId="0" fillId="0" borderId="0" pivotButton="0" quotePrefix="0" xfId="0"/>
    <xf numFmtId="0" fontId="3" fillId="2" borderId="2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5" fillId="0" borderId="11" applyAlignment="1" pivotButton="0" quotePrefix="0" xfId="0">
      <alignment vertical="center"/>
    </xf>
    <xf numFmtId="0" fontId="5" fillId="0" borderId="14" applyAlignment="1" pivotButton="0" quotePrefix="0" xfId="0">
      <alignment vertical="center"/>
    </xf>
    <xf numFmtId="0" fontId="5" fillId="0" borderId="12" applyAlignment="1" pivotButton="0" quotePrefix="0" xfId="0">
      <alignment horizontal="center" vertical="center"/>
    </xf>
    <xf numFmtId="0" fontId="5" fillId="0" borderId="15" applyAlignment="1" pivotButton="0" quotePrefix="0" xfId="0">
      <alignment horizontal="center" vertical="center"/>
    </xf>
    <xf numFmtId="0" fontId="5" fillId="0" borderId="13" applyAlignment="1" pivotButton="0" quotePrefix="0" xfId="0">
      <alignment horizontal="center" vertical="center"/>
    </xf>
    <xf numFmtId="0" fontId="5" fillId="0" borderId="16" applyAlignment="1" pivotButton="0" quotePrefix="0" xfId="0">
      <alignment horizontal="center" vertical="center"/>
    </xf>
    <xf numFmtId="0" fontId="6" fillId="6" borderId="17" applyAlignment="1" pivotButton="0" quotePrefix="0" xfId="0">
      <alignment vertical="center"/>
    </xf>
    <xf numFmtId="0" fontId="6" fillId="6" borderId="18" applyAlignment="1" pivotButton="0" quotePrefix="0" xfId="0">
      <alignment horizontal="center" vertical="center"/>
    </xf>
    <xf numFmtId="0" fontId="6" fillId="6" borderId="19" applyAlignment="1" pivotButton="0" quotePrefix="0" xfId="0">
      <alignment horizontal="center" vertical="center"/>
    </xf>
    <xf numFmtId="0" fontId="0" fillId="7" borderId="3" pivotButton="0" quotePrefix="0" xfId="0"/>
    <xf numFmtId="0" fontId="0" fillId="7" borderId="4" pivotButton="0" quotePrefix="0" xfId="0"/>
    <xf numFmtId="0" fontId="0" fillId="7" borderId="5" pivotButton="0" quotePrefix="0" xfId="0"/>
    <xf numFmtId="0" fontId="0" fillId="7" borderId="6" pivotButton="0" quotePrefix="0" xfId="0"/>
    <xf numFmtId="0" fontId="7" fillId="7" borderId="2" applyAlignment="1" pivotButton="0" quotePrefix="0" xfId="0">
      <alignment horizontal="center" vertical="center"/>
    </xf>
    <xf numFmtId="0" fontId="0" fillId="7" borderId="7" pivotButton="0" quotePrefix="0" xfId="0"/>
    <xf numFmtId="0" fontId="0" fillId="7" borderId="0" pivotButton="0" quotePrefix="0" xfId="0"/>
    <xf numFmtId="0" fontId="0" fillId="7" borderId="8" pivotButton="0" quotePrefix="0" xfId="0"/>
    <xf numFmtId="0" fontId="0" fillId="7" borderId="9" pivotButton="0" quotePrefix="0" xfId="0"/>
    <xf numFmtId="0" fontId="0" fillId="7" borderId="10" pivotButton="0" quotePrefix="0" xfId="0"/>
    <xf numFmtId="0" fontId="7" fillId="8" borderId="2" applyAlignment="1" pivotButton="0" quotePrefix="0" xfId="0">
      <alignment horizontal="left" vertical="center"/>
    </xf>
    <xf numFmtId="0" fontId="2" fillId="0" borderId="0" applyAlignment="1" pivotButton="0" quotePrefix="0" xfId="0">
      <alignment horizontal="center" vertical="top"/>
    </xf>
    <xf numFmtId="0" fontId="0" fillId="0" borderId="0" applyAlignment="1" pivotButton="0" quotePrefix="0" xfId="0">
      <alignment vertical="top"/>
    </xf>
    <xf numFmtId="0" fontId="3" fillId="2" borderId="2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1" fillId="0" borderId="0" pivotButton="0" quotePrefix="0" xfId="0"/>
    <xf numFmtId="0" fontId="3" fillId="2" borderId="21" applyAlignment="1" pivotButton="0" quotePrefix="0" xfId="0">
      <alignment horizontal="center" vertical="center"/>
    </xf>
    <xf numFmtId="0" fontId="2" fillId="3" borderId="20" applyAlignment="1" pivotButton="0" quotePrefix="0" xfId="0">
      <alignment horizontal="center" vertical="center"/>
    </xf>
    <xf numFmtId="14" fontId="0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horizontal="left" vertical="center"/>
    </xf>
    <xf numFmtId="14" fontId="0" fillId="0" borderId="0" pivotButton="0" quotePrefix="0" xfId="0"/>
    <xf numFmtId="0" fontId="13" fillId="0" borderId="0" applyAlignment="1" pivotButton="0" quotePrefix="0" xfId="2">
      <alignment horizontal="left" vertical="top"/>
    </xf>
    <xf numFmtId="0" fontId="14" fillId="0" borderId="0" applyAlignment="1" pivotButton="0" quotePrefix="0" xfId="0">
      <alignment horizontal="right" vertical="top"/>
    </xf>
    <xf numFmtId="164" fontId="14" fillId="0" borderId="0" applyAlignment="1" pivotButton="0" quotePrefix="0" xfId="0">
      <alignment horizontal="center" vertical="top"/>
    </xf>
    <xf numFmtId="0" fontId="14" fillId="0" borderId="1" pivotButton="0" quotePrefix="0" xfId="0"/>
    <xf numFmtId="0" fontId="14" fillId="9" borderId="1" applyAlignment="1" pivotButton="0" quotePrefix="0" xfId="0">
      <alignment horizontal="center" vertical="center"/>
    </xf>
    <xf numFmtId="0" fontId="14" fillId="9" borderId="1" applyAlignment="1" pivotButton="0" quotePrefix="0" xfId="0">
      <alignment horizontal="center"/>
    </xf>
    <xf numFmtId="0" fontId="15" fillId="4" borderId="11" applyAlignment="1" pivotButton="0" quotePrefix="0" xfId="0">
      <alignment horizontal="center" vertical="center"/>
    </xf>
    <xf numFmtId="0" fontId="15" fillId="4" borderId="12" applyAlignment="1" pivotButton="0" quotePrefix="0" xfId="0">
      <alignment horizontal="center" vertical="center"/>
    </xf>
    <xf numFmtId="0" fontId="15" fillId="4" borderId="13" applyAlignment="1" pivotButton="0" quotePrefix="0" xfId="0">
      <alignment horizontal="center" vertical="center"/>
    </xf>
    <xf numFmtId="14" fontId="16" fillId="0" borderId="11" applyAlignment="1" pivotButton="0" quotePrefix="0" xfId="0">
      <alignment horizontal="center" vertical="center"/>
    </xf>
    <xf numFmtId="0" fontId="16" fillId="0" borderId="12" applyAlignment="1" pivotButton="0" quotePrefix="0" xfId="0">
      <alignment horizontal="center" vertical="center"/>
    </xf>
    <xf numFmtId="9" fontId="16" fillId="0" borderId="12" applyAlignment="1" pivotButton="0" quotePrefix="0" xfId="3">
      <alignment horizontal="center" vertical="center"/>
    </xf>
    <xf numFmtId="9" fontId="14" fillId="9" borderId="1" applyAlignment="1" pivotButton="0" quotePrefix="0" xfId="0">
      <alignment horizontal="center" vertical="center"/>
    </xf>
    <xf numFmtId="0" fontId="1" fillId="0" borderId="0" pivotButton="0" quotePrefix="0" xfId="0"/>
    <xf numFmtId="0" fontId="2" fillId="0" borderId="0" applyAlignment="1" pivotButton="0" quotePrefix="0" xfId="0">
      <alignment horizontal="center"/>
    </xf>
    <xf numFmtId="0" fontId="18" fillId="10" borderId="0" applyAlignment="1" pivotButton="0" quotePrefix="0" xfId="0">
      <alignment horizontal="center"/>
    </xf>
    <xf numFmtId="165" fontId="14" fillId="9" borderId="1" applyAlignment="1" pivotButton="0" quotePrefix="0" xfId="0">
      <alignment horizontal="center"/>
    </xf>
    <xf numFmtId="166" fontId="0" fillId="0" borderId="0" pivotButton="0" quotePrefix="0" xfId="0"/>
    <xf numFmtId="0" fontId="0" fillId="0" borderId="0" pivotButton="0" quotePrefix="0" xfId="0"/>
    <xf numFmtId="167" fontId="16" fillId="0" borderId="13" applyAlignment="1" pivotButton="0" quotePrefix="0" xfId="4">
      <alignment horizontal="center" vertical="center"/>
    </xf>
    <xf numFmtId="168" fontId="16" fillId="0" borderId="13" applyAlignment="1" pivotButton="0" quotePrefix="0" xfId="4">
      <alignment horizontal="center" vertical="center"/>
    </xf>
    <xf numFmtId="168" fontId="17" fillId="9" borderId="1" applyAlignment="1" pivotButton="0" quotePrefix="0" xfId="0">
      <alignment horizontal="center" vertical="center"/>
    </xf>
    <xf numFmtId="168" fontId="0" fillId="0" borderId="0" pivotButton="0" quotePrefix="0" xfId="1"/>
    <xf numFmtId="0" fontId="8" fillId="0" borderId="0" applyAlignment="1" pivotButton="0" quotePrefix="0" xfId="0">
      <alignment horizontal="right"/>
    </xf>
    <xf numFmtId="0" fontId="0" fillId="0" borderId="0" pivotButton="0" quotePrefix="0" xfId="0"/>
    <xf numFmtId="0" fontId="4" fillId="5" borderId="0" applyAlignment="1" pivotButton="0" quotePrefix="0" xfId="0">
      <alignment horizontal="center" vertical="center"/>
    </xf>
    <xf numFmtId="167" fontId="16" fillId="0" borderId="13" applyAlignment="1" pivotButton="0" quotePrefix="0" xfId="4">
      <alignment horizontal="center" vertical="center"/>
    </xf>
    <xf numFmtId="168" fontId="16" fillId="0" borderId="13" applyAlignment="1" pivotButton="0" quotePrefix="0" xfId="4">
      <alignment horizontal="center" vertical="center"/>
    </xf>
    <xf numFmtId="168" fontId="17" fillId="9" borderId="1" applyAlignment="1" pivotButton="0" quotePrefix="0" xfId="0">
      <alignment horizontal="center" vertical="center"/>
    </xf>
    <xf numFmtId="168" fontId="0" fillId="0" borderId="0" pivotButton="0" quotePrefix="0" xfId="1"/>
  </cellXfs>
  <cellStyles count="5">
    <cellStyle name="Normal" xfId="0" builtinId="0"/>
    <cellStyle name="Currency" xfId="1" builtinId="4"/>
    <cellStyle name="Hyperlink 2" xfId="2"/>
    <cellStyle name="Percent 2" xfId="3"/>
    <cellStyle name="Currency 2" xfId="4"/>
  </cellStyle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externalLink" Target="/xl/externalLinks/externalLink1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drawing1.xml><?xml version="1.0" encoding="utf-8"?>
<wsDr xmlns="http://schemas.openxmlformats.org/drawingml/2006/spreadsheetDrawing">
  <twoCellAnchor editAs="absolute">
    <from>
      <col>3</col>
      <colOff>542925</colOff>
      <row>6</row>
      <rowOff>114300</rowOff>
    </from>
    <to>
      <col>4</col>
      <colOff>864691</colOff>
      <row>11</row>
      <rowOff>76200</rowOff>
    </to>
    <pic macro="[0]!Create_Excel_Files">
      <nvPicPr>
        <cNvPr id="2" name="Picture 1" descr="Image result for excel icon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14525" y="1647825"/>
          <a:ext cx="931366" cy="9144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absolute">
    <from>
      <col>5</col>
      <colOff>695325</colOff>
      <row>6</row>
      <rowOff>114300</rowOff>
    </from>
    <to>
      <col>5</col>
      <colOff>1626691</colOff>
      <row>11</row>
      <rowOff>76200</rowOff>
    </to>
    <pic macro="[0]!Create_Word_Files">
      <nvPicPr>
        <cNvPr id="3" name="Picture 2" descr="Image result for word icon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24275" y="1647825"/>
          <a:ext cx="931366" cy="9144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absolute">
    <from>
      <col>5</col>
      <colOff>2505075</colOff>
      <row>6</row>
      <rowOff>114300</rowOff>
    </from>
    <to>
      <col>6</col>
      <colOff>49245</colOff>
      <row>11</row>
      <rowOff>76200</rowOff>
    </to>
    <pic macro="[0]!Create_PDF_Files">
      <nvPicPr>
        <cNvPr id="4" name="Picture 3" descr="Image result for pdf icon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5534025" y="1647825"/>
          <a:ext cx="744570" cy="9144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MYCAA%20Automation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ttings"/>
      <sheetName val="Data"/>
      <sheetName val="Marksheet Template"/>
      <sheetName val="Setup"/>
    </sheetNames>
    <sheetDataSet>
      <sheetData sheetId="0"/>
      <sheetData sheetId="1"/>
      <sheetData sheetId="2"/>
      <sheetData sheetId="3">
        <row r="1">
          <cell r="A1" t="str">
            <v>Start Date</v>
          </cell>
          <cell r="B1" t="str">
            <v>Name</v>
          </cell>
          <cell r="C1" t="str">
            <v>Description</v>
          </cell>
        </row>
        <row r="2">
          <cell r="A2" t="str">
            <v>12/02/20</v>
          </cell>
          <cell r="B2" t="str">
            <v>Eleaha Bowers-LAPTOP</v>
          </cell>
          <cell r="C2" t="str">
            <v>clinical medical assistant</v>
          </cell>
        </row>
        <row r="3">
          <cell r="A3" t="str">
            <v>12/05/20</v>
          </cell>
          <cell r="B3" t="str">
            <v>Courtlyn martin-LAPTOP</v>
          </cell>
          <cell r="C3" t="str">
            <v>dental assisting</v>
          </cell>
        </row>
        <row r="4">
          <cell r="A4" t="str">
            <v>12/07/20</v>
          </cell>
          <cell r="B4" t="str">
            <v>Angelica Suhr</v>
          </cell>
          <cell r="C4" t="str">
            <v>clinical medical assistant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mailto:paul.fears@psfinternational.com" TargetMode="External" Id="rId1"/></Relationships>
</file>

<file path=xl/worksheets/sheet1.xml><?xml version="1.0" encoding="utf-8"?>
<worksheet xmlns="http://schemas.openxmlformats.org/spreadsheetml/2006/main">
  <sheetPr codeName="Sheet4">
    <outlinePr summaryBelow="1" summaryRight="1"/>
    <pageSetUpPr/>
  </sheetPr>
  <dimension ref="D3:G16"/>
  <sheetViews>
    <sheetView showGridLines="0" showRowColHeaders="0" workbookViewId="0">
      <selection activeCell="F4" sqref="F4"/>
    </sheetView>
  </sheetViews>
  <sheetFormatPr baseColWidth="10" defaultColWidth="0" defaultRowHeight="15" zeroHeight="1"/>
  <cols>
    <col width="9.1640625" customWidth="1" style="58" min="1" max="1"/>
    <col width="6.1640625" customWidth="1" style="58" min="2" max="2"/>
    <col width="5.33203125" customWidth="1" style="58" min="3" max="3"/>
    <col width="9.1640625" customWidth="1" style="58" min="4" max="4"/>
    <col width="15.6640625" customWidth="1" style="58" min="5" max="5"/>
    <col width="48" customWidth="1" style="58" min="6" max="6"/>
    <col width="9.1640625" customWidth="1" style="58" min="7" max="8"/>
    <col hidden="1" width="9.1640625" customWidth="1" style="58" min="9" max="18"/>
    <col hidden="1" width="9.1640625" customWidth="1" style="58" min="19" max="16384"/>
  </cols>
  <sheetData>
    <row r="1" ht="45" customHeight="1" s="58"/>
    <row r="2" ht="16" customHeight="1" s="58" thickBot="1"/>
    <row r="3">
      <c r="D3" s="12" t="n"/>
      <c r="E3" s="13" t="n"/>
      <c r="F3" s="13" t="n"/>
      <c r="G3" s="14" t="n"/>
    </row>
    <row r="4" ht="15" customHeight="1" s="58">
      <c r="D4" s="15" t="n"/>
      <c r="E4" s="16" t="inlineStr">
        <is>
          <t>Folder  Path:</t>
        </is>
      </c>
      <c r="F4" s="22" t="inlineStr">
        <is>
          <t>/Volumes/SanDisk Extreme SSD/Dropbox (ECA Consulting)/ECA Back Office/Lisa's Backup/Invoices/ILT Invoices</t>
        </is>
      </c>
      <c r="G4" s="17" t="n"/>
    </row>
    <row r="5" ht="15" customHeight="1" s="58">
      <c r="D5" s="15" t="n"/>
      <c r="E5" s="18" t="n"/>
      <c r="F5" s="18" t="n"/>
      <c r="G5" s="17" t="n"/>
    </row>
    <row r="6">
      <c r="D6" s="15" t="n"/>
      <c r="E6" s="18" t="n"/>
      <c r="F6" s="18" t="n"/>
      <c r="G6" s="17" t="n"/>
    </row>
    <row r="7">
      <c r="D7" s="15" t="n"/>
      <c r="E7" s="18" t="n"/>
      <c r="F7" s="18" t="n"/>
      <c r="G7" s="17" t="n"/>
    </row>
    <row r="8">
      <c r="D8" s="15" t="n"/>
      <c r="E8" s="18" t="n"/>
      <c r="F8" s="18" t="n"/>
      <c r="G8" s="17" t="n"/>
    </row>
    <row r="9">
      <c r="D9" s="15" t="n"/>
      <c r="E9" s="18" t="n"/>
      <c r="F9" s="18" t="n"/>
      <c r="G9" s="17" t="n"/>
    </row>
    <row r="10">
      <c r="D10" s="15" t="n"/>
      <c r="E10" s="18" t="n"/>
      <c r="F10" s="18" t="n"/>
      <c r="G10" s="17" t="n"/>
    </row>
    <row r="11">
      <c r="D11" s="15" t="n"/>
      <c r="E11" s="18" t="n"/>
      <c r="F11" s="18" t="n"/>
      <c r="G11" s="17" t="n"/>
    </row>
    <row r="12">
      <c r="D12" s="15" t="n"/>
      <c r="E12" s="18" t="n"/>
      <c r="F12" s="18" t="n"/>
      <c r="G12" s="17" t="n"/>
    </row>
    <row r="13">
      <c r="D13" s="15" t="n"/>
      <c r="E13" s="18" t="n"/>
      <c r="F13" s="18" t="n"/>
      <c r="G13" s="17" t="n"/>
    </row>
    <row r="14" ht="16" customHeight="1" s="58" thickBot="1">
      <c r="D14" s="19" t="n"/>
      <c r="E14" s="20" t="n"/>
      <c r="F14" s="20" t="n"/>
      <c r="G14" s="21" t="n"/>
    </row>
    <row r="16">
      <c r="F16" s="57" t="n"/>
    </row>
  </sheetData>
  <mergeCells count="1">
    <mergeCell ref="F16:G16"/>
  </mergeCells>
  <pageMargins left="0.7" right="0.7" top="0.75" bottom="0.75" header="0.3" footer="0.3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G4"/>
  <sheetViews>
    <sheetView showGridLines="0" tabSelected="1" workbookViewId="0">
      <selection activeCell="I14" sqref="I14"/>
    </sheetView>
  </sheetViews>
  <sheetFormatPr baseColWidth="10" defaultColWidth="8.83203125" defaultRowHeight="15"/>
  <cols>
    <col width="17.6640625" customWidth="1" style="58" min="1" max="1"/>
    <col width="14.1640625" customWidth="1" style="58" min="2" max="2"/>
    <col width="15" customWidth="1" style="58" min="3" max="3"/>
    <col width="23.83203125" customWidth="1" style="58" min="4" max="4"/>
    <col outlineLevel="1" width="15.6640625" customWidth="1" style="58" min="5" max="6"/>
  </cols>
  <sheetData>
    <row r="1" ht="15" customHeight="1" s="58">
      <c r="A1" s="1" t="inlineStr">
        <is>
          <t>Start Date</t>
        </is>
      </c>
      <c r="B1" s="1" t="inlineStr">
        <is>
          <t>Name</t>
        </is>
      </c>
      <c r="C1" s="1" t="inlineStr">
        <is>
          <t>Description</t>
        </is>
      </c>
      <c r="D1" s="1" t="inlineStr">
        <is>
          <t>School</t>
        </is>
      </c>
      <c r="E1" s="2" t="inlineStr">
        <is>
          <t>Invoice Number</t>
        </is>
      </c>
      <c r="F1" s="29" t="inlineStr">
        <is>
          <t>Total</t>
        </is>
      </c>
      <c r="G1" s="28" t="n"/>
    </row>
    <row r="2">
      <c r="A2" s="51" t="inlineStr">
        <is>
          <t>03/15/21</t>
        </is>
      </c>
      <c r="B2" t="inlineStr">
        <is>
          <t>Raymond Rosier III</t>
        </is>
      </c>
      <c r="C2" t="inlineStr">
        <is>
          <t>human resources professional</t>
        </is>
      </c>
      <c r="D2" t="inlineStr">
        <is>
          <t>CA LSUS</t>
        </is>
      </c>
      <c r="E2" t="inlineStr">
        <is>
          <t>CA61</t>
        </is>
      </c>
      <c r="F2" t="n">
        <v>2029</v>
      </c>
    </row>
    <row r="3"/>
    <row r="4">
      <c r="A4" s="51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H23"/>
  <sheetViews>
    <sheetView showGridLines="0" workbookViewId="0">
      <selection activeCell="D4" sqref="D4:D5"/>
    </sheetView>
  </sheetViews>
  <sheetFormatPr baseColWidth="10" defaultColWidth="8.83203125" defaultRowHeight="15"/>
  <cols>
    <col width="3.5" customWidth="1" style="58" min="1" max="1"/>
    <col width="20.6640625" customWidth="1" style="58" min="2" max="2"/>
    <col width="49.1640625" customWidth="1" style="58" min="3" max="3"/>
    <col width="15.5" customWidth="1" style="58" min="4" max="4"/>
    <col width="22.33203125" customWidth="1" style="58" min="5" max="5"/>
    <col width="22.5" customWidth="1" style="58" min="6" max="6"/>
    <col width="10.5" customWidth="1" style="58" min="7" max="7"/>
    <col width="11.1640625" customWidth="1" style="58" min="8" max="8"/>
  </cols>
  <sheetData>
    <row r="1" ht="30" customHeight="1" s="58">
      <c r="A1" s="59" t="inlineStr">
        <is>
          <t>PSF Invoice</t>
        </is>
      </c>
    </row>
    <row r="2" ht="19" customHeight="1" s="58">
      <c r="A2" s="31" t="n"/>
      <c r="B2" s="32" t="inlineStr">
        <is>
          <t>1257 Water St</t>
        </is>
      </c>
      <c r="C2" s="31" t="n"/>
      <c r="D2" s="31" t="n"/>
      <c r="E2" s="31" t="n"/>
      <c r="F2" s="31" t="n"/>
      <c r="G2" s="31" t="n"/>
    </row>
    <row r="3" ht="17" customHeight="1" s="58">
      <c r="A3" s="31" t="n"/>
      <c r="B3" s="32" t="inlineStr">
        <is>
          <t>Wrightsville, PA 17368</t>
        </is>
      </c>
      <c r="C3" s="31" t="n"/>
      <c r="D3" s="31" t="n"/>
      <c r="E3" s="31" t="n"/>
      <c r="F3" s="31" t="n"/>
      <c r="G3" s="31" t="n"/>
      <c r="H3" s="33" t="n"/>
    </row>
    <row r="4" ht="17" customHeight="1" s="58">
      <c r="A4" s="31" t="n"/>
      <c r="B4" s="32" t="inlineStr">
        <is>
          <t>(717) 487-0614</t>
        </is>
      </c>
      <c r="C4" s="31" t="n"/>
      <c r="D4" s="31" t="n"/>
      <c r="E4" s="31" t="n"/>
      <c r="F4" s="31" t="n"/>
      <c r="G4" s="31" t="n"/>
    </row>
    <row r="5" ht="39" customFormat="1" customHeight="1" s="24">
      <c r="A5" s="23" t="n"/>
      <c r="B5" s="34" t="inlineStr">
        <is>
          <t>paul.fears@psfinternational.com</t>
        </is>
      </c>
      <c r="C5" s="23" t="n"/>
      <c r="D5" s="23" t="n"/>
      <c r="E5" s="23" t="n"/>
      <c r="F5" s="23" t="n"/>
      <c r="G5" s="35" t="inlineStr">
        <is>
          <t>DATE:</t>
        </is>
      </c>
      <c r="H5" s="36">
        <f>TODAY()</f>
        <v/>
      </c>
    </row>
    <row r="6" ht="22" customHeight="1" s="58">
      <c r="B6" s="37" t="inlineStr">
        <is>
          <t>Name:</t>
        </is>
      </c>
      <c r="C6" s="38" t="inlineStr">
        <is>
          <t>Carly Phillips</t>
        </is>
      </c>
      <c r="E6" s="37" t="inlineStr">
        <is>
          <t>School</t>
        </is>
      </c>
      <c r="F6" s="39" t="inlineStr">
        <is>
          <t>BROWARD</t>
        </is>
      </c>
    </row>
    <row r="7" ht="23" customHeight="1" s="58">
      <c r="B7" s="37" t="inlineStr">
        <is>
          <t>Invoice Number:</t>
        </is>
      </c>
      <c r="C7" s="38" t="inlineStr">
        <is>
          <t>E-L 0015</t>
        </is>
      </c>
      <c r="E7" s="37" t="inlineStr">
        <is>
          <t>Due Date</t>
        </is>
      </c>
      <c r="F7" s="50">
        <f>EDATE(B10,1)</f>
        <v/>
      </c>
    </row>
    <row r="9" ht="21.75" customHeight="1" s="58">
      <c r="B9" s="40" t="inlineStr">
        <is>
          <t>Start Date</t>
        </is>
      </c>
      <c r="C9" s="41" t="inlineStr">
        <is>
          <t>Description</t>
        </is>
      </c>
      <c r="D9" s="41" t="inlineStr">
        <is>
          <t>Tuition</t>
        </is>
      </c>
      <c r="E9" s="41" t="inlineStr">
        <is>
          <t>Percentage</t>
        </is>
      </c>
      <c r="F9" s="42" t="inlineStr">
        <is>
          <t>Line Total</t>
        </is>
      </c>
    </row>
    <row r="10" ht="21.75" customHeight="1" s="58">
      <c r="B10" s="43" t="n">
        <v>43903</v>
      </c>
      <c r="C10" s="44" t="inlineStr">
        <is>
          <t>Phlebotomy Technician</t>
        </is>
      </c>
      <c r="D10" s="44" t="n"/>
      <c r="E10" s="45">
        <f>IF(F6="MET",25%,IF(F6="AU ED4",25%,IF(F6="UWLAX",30%,IF(F6="CSU",25%,IF(F6="AU M",25%,"")))))</f>
        <v/>
      </c>
      <c r="F10" s="60" t="n">
        <v>577.15</v>
      </c>
    </row>
    <row r="11" ht="21.75" customHeight="1" s="58">
      <c r="B11" s="3" t="n"/>
      <c r="C11" s="44" t="n"/>
      <c r="D11" s="5" t="n"/>
      <c r="E11" s="5" t="n"/>
      <c r="F11" s="61" t="n"/>
    </row>
    <row r="12" ht="21.75" customHeight="1" s="58">
      <c r="B12" s="3" t="n"/>
      <c r="C12" s="5" t="n"/>
      <c r="D12" s="5" t="n"/>
      <c r="E12" s="5" t="n"/>
      <c r="F12" s="7" t="n"/>
    </row>
    <row r="13" ht="21.75" customHeight="1" s="58">
      <c r="B13" s="3" t="n"/>
      <c r="C13" s="5" t="n"/>
      <c r="D13" s="5" t="n"/>
      <c r="E13" s="5" t="n"/>
      <c r="F13" s="7" t="n"/>
    </row>
    <row r="14" ht="21.75" customHeight="1" s="58">
      <c r="B14" s="3" t="n"/>
      <c r="C14" s="5" t="n"/>
      <c r="D14" s="5" t="n"/>
      <c r="E14" s="5" t="n"/>
      <c r="F14" s="7" t="n"/>
    </row>
    <row r="15" ht="21.75" customHeight="1" s="58" thickBot="1">
      <c r="B15" s="4" t="n"/>
      <c r="C15" s="6" t="n"/>
      <c r="D15" s="6" t="n"/>
      <c r="E15" s="6" t="n"/>
      <c r="F15" s="8" t="n"/>
    </row>
    <row r="16" ht="21.75" customHeight="1" s="58" thickTop="1">
      <c r="B16" s="9" t="n"/>
      <c r="C16" s="10" t="n"/>
      <c r="D16" s="10" t="n"/>
      <c r="E16" s="10">
        <f>IFERROR(VLOOKUP(D16/C16,[1]Setup!$A$1:$C$4,2,1),"")</f>
        <v/>
      </c>
      <c r="F16" s="11">
        <f>IFERROR(VLOOKUP(D16/C16,[1]Setup!$A$1:$C$4,3,1),"")</f>
        <v/>
      </c>
    </row>
    <row r="19" ht="21" customHeight="1" s="58">
      <c r="B19" s="37" t="inlineStr">
        <is>
          <t>Payment Terms</t>
        </is>
      </c>
      <c r="C19" s="46" t="inlineStr">
        <is>
          <t>Due upon receipt</t>
        </is>
      </c>
      <c r="D19" s="47" t="n"/>
      <c r="E19" s="37" t="inlineStr">
        <is>
          <t>Total</t>
        </is>
      </c>
      <c r="F19" s="62">
        <f>SUM(F10:F18)</f>
        <v/>
      </c>
    </row>
    <row r="22" ht="19" customHeight="1" s="58">
      <c r="B22" s="48" t="n"/>
      <c r="C22" s="49" t="inlineStr">
        <is>
          <t>Make All checks payable to PSF International, LLC</t>
        </is>
      </c>
      <c r="D22" s="48" t="n"/>
      <c r="E22" s="26" t="n"/>
      <c r="F22" s="48" t="n"/>
    </row>
    <row r="23" ht="19" customHeight="1" s="58">
      <c r="C23" s="49" t="inlineStr">
        <is>
          <t>THANK YOU FOR YOUR BUSINESS!</t>
        </is>
      </c>
    </row>
  </sheetData>
  <mergeCells count="1">
    <mergeCell ref="A1:G1"/>
  </mergeCells>
  <hyperlinks>
    <hyperlink xmlns:r="http://schemas.openxmlformats.org/officeDocument/2006/relationships" ref="B5" r:id="rId1"/>
  </hyperlinks>
  <pageMargins left="0.7" right="0.7" top="0.75" bottom="0.75" header="0.3" footer="0.3"/>
  <pageSetup orientation="landscape" paperSize="8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G13"/>
  <sheetViews>
    <sheetView showGridLines="0" workbookViewId="0">
      <selection activeCell="A2" sqref="A2:H2"/>
    </sheetView>
  </sheetViews>
  <sheetFormatPr baseColWidth="10" defaultColWidth="8.83203125" defaultRowHeight="15"/>
  <cols>
    <col width="17" customWidth="1" style="58" min="1" max="1"/>
    <col width="22.83203125" customWidth="1" style="58" min="2" max="2"/>
    <col width="44.5" customWidth="1" style="58" min="3" max="3"/>
    <col width="26.83203125" customWidth="1" style="58" min="4" max="4"/>
    <col width="20" customWidth="1" style="58" min="5" max="5"/>
    <col width="25.83203125" customWidth="1" style="58" min="6" max="6"/>
  </cols>
  <sheetData>
    <row r="1" ht="15" customHeight="1" s="58">
      <c r="A1" s="25" t="inlineStr">
        <is>
          <t>Start Date</t>
        </is>
      </c>
      <c r="B1" s="25" t="inlineStr">
        <is>
          <t>Name</t>
        </is>
      </c>
      <c r="C1" s="25" t="inlineStr">
        <is>
          <t>Description</t>
        </is>
      </c>
      <c r="D1" s="25" t="inlineStr">
        <is>
          <t>School</t>
        </is>
      </c>
      <c r="E1" s="2" t="inlineStr">
        <is>
          <t>Invoice Number</t>
        </is>
      </c>
      <c r="F1" s="2" t="inlineStr">
        <is>
          <t>Total</t>
        </is>
      </c>
    </row>
    <row r="2">
      <c r="A2" s="30" t="inlineStr">
        <is>
          <t>03/15/21</t>
        </is>
      </c>
      <c r="B2" t="inlineStr">
        <is>
          <t>Raymond Rosier III</t>
        </is>
      </c>
      <c r="C2" t="inlineStr">
        <is>
          <t>human resources professional</t>
        </is>
      </c>
      <c r="D2" t="inlineStr">
        <is>
          <t>CA LSUS</t>
        </is>
      </c>
      <c r="E2" s="26" t="inlineStr">
        <is>
          <t>CA61</t>
        </is>
      </c>
      <c r="F2" s="63" t="n">
        <v>2029</v>
      </c>
      <c r="G2" t="inlineStr">
        <is>
          <t>Raymond Rosier III</t>
        </is>
      </c>
    </row>
    <row r="3">
      <c r="A3" s="30" t="n"/>
      <c r="D3" s="27" t="n"/>
      <c r="E3" s="26" t="n"/>
      <c r="F3" s="63" t="n"/>
    </row>
    <row r="4">
      <c r="A4" s="30" t="n"/>
      <c r="E4" s="26" t="n"/>
      <c r="F4" s="63" t="n"/>
    </row>
    <row r="5">
      <c r="A5" s="30" t="n"/>
      <c r="E5" s="26" t="n"/>
      <c r="F5" s="63" t="n"/>
      <c r="G5" s="63" t="n"/>
    </row>
    <row r="6">
      <c r="A6" s="30" t="n"/>
      <c r="E6" s="26" t="n"/>
      <c r="F6" s="63" t="n"/>
      <c r="G6" s="63" t="n"/>
    </row>
    <row r="7">
      <c r="A7" s="30" t="n"/>
      <c r="D7" s="27" t="n"/>
      <c r="E7" s="26" t="n"/>
      <c r="F7" s="63" t="n"/>
      <c r="G7" s="63" t="n"/>
    </row>
    <row r="8">
      <c r="A8" s="30" t="n"/>
      <c r="E8" s="26" t="n"/>
      <c r="F8" s="63" t="n"/>
    </row>
    <row r="9">
      <c r="A9" s="30" t="n"/>
      <c r="E9" s="26" t="n"/>
      <c r="F9" s="63" t="n"/>
    </row>
    <row r="10">
      <c r="A10" s="30" t="n"/>
      <c r="D10" s="27" t="n"/>
      <c r="E10" s="26" t="n"/>
      <c r="F10" s="63" t="n"/>
    </row>
    <row r="11">
      <c r="A11" s="30" t="n"/>
      <c r="E11" s="26" t="n"/>
      <c r="F11" s="63" t="n"/>
    </row>
    <row r="12">
      <c r="A12" s="30" t="n"/>
      <c r="E12" s="26" t="n"/>
      <c r="F12" s="63" t="n"/>
    </row>
    <row r="13">
      <c r="A13" s="30" t="n"/>
      <c r="E13" s="26" t="n"/>
      <c r="F13" s="63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Priyendra.Kumar</dc:creator>
  <dcterms:created xmlns:dcterms="http://purl.org/dc/terms/" xmlns:xsi="http://www.w3.org/2001/XMLSchema-instance" xsi:type="dcterms:W3CDTF">2019-10-27T11:35:05Z</dcterms:created>
  <dcterms:modified xmlns:dcterms="http://purl.org/dc/terms/" xmlns:xsi="http://www.w3.org/2001/XMLSchema-instance" xsi:type="dcterms:W3CDTF">2021-03-16T23:34:34Z</dcterms:modified>
  <cp:lastModifiedBy>Jon Gregis</cp:lastModifiedBy>
  <cp:lastPrinted>2020-03-26T00:02:10Z</cp:lastPrinted>
</cp:coreProperties>
</file>