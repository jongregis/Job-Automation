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ngregis/Python/JobAutomation/JobAutomation/"/>
    </mc:Choice>
  </mc:AlternateContent>
  <xr:revisionPtr revIDLastSave="0" documentId="13_ncr:1_{C8C2106C-AB49-5043-BA80-6AF1421E8538}" xr6:coauthVersionLast="45" xr6:coauthVersionMax="45" xr10:uidLastSave="{00000000-0000-0000-0000-000000000000}"/>
  <bookViews>
    <workbookView xWindow="18300" yWindow="-18220" windowWidth="26800" windowHeight="15360" activeTab="1" xr2:uid="{00000000-000D-0000-FFFF-FFFF00000000}"/>
  </bookViews>
  <sheets>
    <sheet name="Settings" sheetId="1" r:id="rId1"/>
    <sheet name="Data" sheetId="2" r:id="rId2"/>
    <sheet name="Marksheet Template" sheetId="3" r:id="rId3"/>
    <sheet name="Setup" sheetId="4" r:id="rId4"/>
  </sheets>
  <externalReferences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6" i="3" l="1"/>
  <c r="F19" i="3" s="1"/>
  <c r="E16" i="3"/>
  <c r="E10" i="3"/>
  <c r="F7" i="3"/>
  <c r="H5" i="3"/>
</calcChain>
</file>

<file path=xl/sharedStrings.xml><?xml version="1.0" encoding="utf-8"?>
<sst xmlns="http://schemas.openxmlformats.org/spreadsheetml/2006/main" count="59" uniqueCount="36">
  <si>
    <t>Folder  Path:</t>
  </si>
  <si>
    <t>/Volumes/SanDisk Extreme SSD/Dropbox (ECA Consulting)/ECA Back Office/Lisa's Backup/Invoices/ILT Invoices</t>
  </si>
  <si>
    <t>Start Date</t>
  </si>
  <si>
    <t>Name</t>
  </si>
  <si>
    <t>Description</t>
  </si>
  <si>
    <t>School</t>
  </si>
  <si>
    <t>Invoice Number</t>
  </si>
  <si>
    <t>Total</t>
  </si>
  <si>
    <t>Jennifer Bartlett Phelps</t>
  </si>
  <si>
    <t>PRIVATE PAY-PIF(Paid in Full)</t>
  </si>
  <si>
    <t>AU M</t>
  </si>
  <si>
    <t>Maduku Kingsley</t>
  </si>
  <si>
    <t>It Cyber Security Professional with Comp TIA Security +</t>
  </si>
  <si>
    <t>DESU</t>
  </si>
  <si>
    <t>Keith Hoke</t>
  </si>
  <si>
    <t>Project Management Specialist for CAPM</t>
  </si>
  <si>
    <t>PSF Invoice</t>
  </si>
  <si>
    <t>1257 Water St</t>
  </si>
  <si>
    <t>Wrightsville, PA 17368</t>
  </si>
  <si>
    <t>(717) 487-0614</t>
  </si>
  <si>
    <t>paul.fears@psfinternational.com</t>
  </si>
  <si>
    <t>DATE:</t>
  </si>
  <si>
    <t>Name:</t>
  </si>
  <si>
    <t>Carly Phillips</t>
  </si>
  <si>
    <t>BROWARD</t>
  </si>
  <si>
    <t>Invoice Number:</t>
  </si>
  <si>
    <t>E-L 0015</t>
  </si>
  <si>
    <t>Due Date</t>
  </si>
  <si>
    <t>Tuition</t>
  </si>
  <si>
    <t>Percentage</t>
  </si>
  <si>
    <t>Line Total</t>
  </si>
  <si>
    <t>Phlebotomy Technician</t>
  </si>
  <si>
    <t>Payment Terms</t>
  </si>
  <si>
    <t>Due upon receipt</t>
  </si>
  <si>
    <t>Make All checks payable to PSF International, LLC</t>
  </si>
  <si>
    <t>THANK YOU FOR YOUR BUSINESS!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</si>
</sst>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[$-409]d\-mmm\-yy;@"/>
    <numFmt numFmtId="165" formatCode="m/d/yy;@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24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0"/>
      <color indexed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4"/>
      <color theme="1"/>
      <name val="Arial"/>
      <family val="2"/>
    </font>
    <font>
      <b/>
      <sz val="16"/>
      <color theme="1"/>
      <name val="Calibri"/>
      <family val="2"/>
      <scheme val="minor"/>
    </font>
    <font>
      <sz val="14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7"/>
        <bgColor indexed="64"/>
      </patternFill>
    </fill>
    <fill>
      <gradientFill degree="90">
        <stop position="0">
          <color theme="4" tint="0.40000610370189521"/>
        </stop>
        <stop position="1">
          <color rgb="FF00B0F0"/>
        </stop>
      </gradientFill>
    </fill>
    <fill>
      <gradientFill degree="270">
        <stop position="0">
          <color theme="7"/>
        </stop>
        <stop position="1">
          <color theme="7" tint="0.59999389629810485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 style="double">
        <color rgb="FF0070C0"/>
      </top>
      <bottom style="thin">
        <color rgb="FF0070C0"/>
      </bottom>
      <diagonal/>
    </border>
    <border>
      <left/>
      <right/>
      <top style="double">
        <color rgb="FF0070C0"/>
      </top>
      <bottom style="thin">
        <color rgb="FF0070C0"/>
      </bottom>
      <diagonal/>
    </border>
    <border>
      <left/>
      <right style="thin">
        <color rgb="FF0070C0"/>
      </right>
      <top style="double">
        <color rgb="FF0070C0"/>
      </top>
      <bottom style="thin">
        <color rgb="FF0070C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5">
    <xf numFmtId="0" fontId="0" fillId="0" borderId="0"/>
    <xf numFmtId="44" fontId="9" fillId="0" borderId="0"/>
    <xf numFmtId="0" fontId="10" fillId="0" borderId="0"/>
    <xf numFmtId="9" fontId="9" fillId="0" borderId="0"/>
    <xf numFmtId="44" fontId="9" fillId="0" borderId="0"/>
  </cellStyleXfs>
  <cellXfs count="62">
    <xf numFmtId="0" fontId="0" fillId="0" borderId="0" xfId="0"/>
    <xf numFmtId="0" fontId="3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5" fillId="0" borderId="11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2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6" borderId="17" xfId="0" applyFont="1" applyFill="1" applyBorder="1" applyAlignment="1">
      <alignment vertical="center"/>
    </xf>
    <xf numFmtId="0" fontId="6" fillId="6" borderId="18" xfId="0" applyFont="1" applyFill="1" applyBorder="1" applyAlignment="1">
      <alignment horizontal="center" vertical="center"/>
    </xf>
    <xf numFmtId="0" fontId="6" fillId="6" borderId="19" xfId="0" applyFont="1" applyFill="1" applyBorder="1" applyAlignment="1">
      <alignment horizontal="center" vertical="center"/>
    </xf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7" fillId="7" borderId="2" xfId="0" applyFont="1" applyFill="1" applyBorder="1" applyAlignment="1">
      <alignment horizontal="center" vertical="center"/>
    </xf>
    <xf numFmtId="0" fontId="0" fillId="7" borderId="7" xfId="0" applyFill="1" applyBorder="1"/>
    <xf numFmtId="0" fontId="0" fillId="7" borderId="0" xfId="0" applyFill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7" fillId="8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top"/>
    </xf>
    <xf numFmtId="0" fontId="0" fillId="0" borderId="0" xfId="0" applyAlignment="1">
      <alignment vertical="top"/>
    </xf>
    <xf numFmtId="0" fontId="3" fillId="2" borderId="2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0" xfId="0" applyFont="1"/>
    <xf numFmtId="0" fontId="9" fillId="0" borderId="0" xfId="0" applyFont="1"/>
    <xf numFmtId="0" fontId="3" fillId="2" borderId="21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left"/>
    </xf>
    <xf numFmtId="0" fontId="4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0" fillId="0" borderId="0" xfId="0" applyNumberFormat="1"/>
    <xf numFmtId="0" fontId="13" fillId="0" borderId="0" xfId="2" applyFont="1" applyAlignment="1">
      <alignment horizontal="left" vertical="top"/>
    </xf>
    <xf numFmtId="0" fontId="14" fillId="0" borderId="0" xfId="0" applyFont="1" applyAlignment="1">
      <alignment horizontal="right" vertical="top"/>
    </xf>
    <xf numFmtId="164" fontId="14" fillId="0" borderId="0" xfId="0" applyNumberFormat="1" applyFont="1" applyAlignment="1">
      <alignment horizontal="center" vertical="top"/>
    </xf>
    <xf numFmtId="0" fontId="14" fillId="0" borderId="1" xfId="0" applyFont="1" applyBorder="1"/>
    <xf numFmtId="0" fontId="14" fillId="9" borderId="1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/>
    </xf>
    <xf numFmtId="0" fontId="15" fillId="4" borderId="11" xfId="0" applyFont="1" applyFill="1" applyBorder="1" applyAlignment="1">
      <alignment horizontal="center" vertical="center"/>
    </xf>
    <xf numFmtId="0" fontId="15" fillId="4" borderId="12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14" fontId="16" fillId="0" borderId="11" xfId="0" applyNumberFormat="1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9" fontId="16" fillId="0" borderId="12" xfId="3" applyFont="1" applyBorder="1" applyAlignment="1">
      <alignment horizontal="center" vertical="center"/>
    </xf>
    <xf numFmtId="9" fontId="14" fillId="9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2" fillId="0" borderId="0" xfId="0" applyFont="1" applyAlignment="1">
      <alignment horizontal="center"/>
    </xf>
    <xf numFmtId="0" fontId="18" fillId="10" borderId="0" xfId="0" applyFont="1" applyFill="1" applyAlignment="1">
      <alignment horizontal="center"/>
    </xf>
    <xf numFmtId="0" fontId="0" fillId="0" borderId="0" xfId="0"/>
    <xf numFmtId="44" fontId="9" fillId="0" borderId="0" xfId="1"/>
    <xf numFmtId="44" fontId="9" fillId="0" borderId="0" xfId="1" applyAlignment="1">
      <alignment horizontal="center"/>
    </xf>
    <xf numFmtId="44" fontId="0" fillId="0" borderId="0" xfId="1" applyFont="1"/>
    <xf numFmtId="165" fontId="14" fillId="9" borderId="1" xfId="0" applyNumberFormat="1" applyFont="1" applyFill="1" applyBorder="1" applyAlignment="1">
      <alignment horizontal="center"/>
    </xf>
    <xf numFmtId="7" fontId="16" fillId="0" borderId="13" xfId="4" applyNumberFormat="1" applyFont="1" applyBorder="1" applyAlignment="1">
      <alignment horizontal="center" vertical="center"/>
    </xf>
    <xf numFmtId="44" fontId="16" fillId="0" borderId="13" xfId="4" applyFont="1" applyBorder="1" applyAlignment="1">
      <alignment horizontal="center" vertical="center"/>
    </xf>
    <xf numFmtId="44" fontId="17" fillId="9" borderId="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right"/>
    </xf>
    <xf numFmtId="0" fontId="0" fillId="0" borderId="0" xfId="0"/>
    <xf numFmtId="0" fontId="4" fillId="5" borderId="0" xfId="0" applyFont="1" applyFill="1" applyAlignment="1">
      <alignment horizontal="center" vertical="center"/>
    </xf>
  </cellXfs>
  <cellStyles count="5">
    <cellStyle name="Currency" xfId="1" builtinId="4"/>
    <cellStyle name="Currency 2" xfId="4" xr:uid="{00000000-0005-0000-0000-000004000000}"/>
    <cellStyle name="Hyperlink 2" xfId="2" xr:uid="{00000000-0005-0000-0000-000002000000}"/>
    <cellStyle name="Normal" xfId="0" builtinId="0"/>
    <cellStyle name="Percent 2" xfId="3" xr:uid="{00000000-0005-0000-0000-000003000000}"/>
  </cellStyles>
  <dxfs count="35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7" tint="-0.24994659260841701"/>
        </patternFill>
      </fill>
    </dxf>
    <dxf>
      <fill>
        <patternFill>
          <bgColor rgb="FFF3A7D4"/>
        </patternFill>
      </fill>
    </dxf>
    <dxf>
      <fill>
        <patternFill>
          <bgColor rgb="FF63819D"/>
        </patternFill>
      </fill>
    </dxf>
    <dxf>
      <fill>
        <patternFill>
          <bgColor rgb="FF9E57C9"/>
        </patternFill>
      </fill>
    </dxf>
    <dxf>
      <fill>
        <patternFill>
          <bgColor theme="9" tint="0.39994506668294322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7" tint="-0.24994659260841701"/>
        </patternFill>
      </fill>
    </dxf>
    <dxf>
      <fill>
        <patternFill>
          <bgColor rgb="FFF3A7D4"/>
        </patternFill>
      </fill>
    </dxf>
    <dxf>
      <fill>
        <patternFill>
          <bgColor rgb="FF63819D"/>
        </patternFill>
      </fill>
    </dxf>
    <dxf>
      <fill>
        <patternFill>
          <bgColor rgb="FF9E57C9"/>
        </patternFill>
      </fill>
    </dxf>
    <dxf>
      <fill>
        <patternFill>
          <bgColor theme="9" tint="0.39994506668294322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7" tint="-0.24994659260841701"/>
        </patternFill>
      </fill>
    </dxf>
    <dxf>
      <fill>
        <patternFill>
          <bgColor rgb="FFF3A7D4"/>
        </patternFill>
      </fill>
    </dxf>
    <dxf>
      <fill>
        <patternFill>
          <bgColor rgb="FF63819D"/>
        </patternFill>
      </fill>
    </dxf>
    <dxf>
      <fill>
        <patternFill>
          <bgColor rgb="FF9E57C9"/>
        </patternFill>
      </fill>
    </dxf>
    <dxf>
      <fill>
        <patternFill>
          <bgColor theme="9" tint="0.39994506668294322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7" tint="-0.24994659260841701"/>
        </patternFill>
      </fill>
    </dxf>
    <dxf>
      <fill>
        <patternFill>
          <bgColor rgb="FFF3A7D4"/>
        </patternFill>
      </fill>
    </dxf>
    <dxf>
      <fill>
        <patternFill>
          <bgColor rgb="FF63819D"/>
        </patternFill>
      </fill>
    </dxf>
    <dxf>
      <fill>
        <patternFill>
          <bgColor rgb="FF9E57C9"/>
        </patternFill>
      </fill>
    </dxf>
    <dxf>
      <fill>
        <patternFill>
          <bgColor theme="9" tint="0.39994506668294322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542925</xdr:colOff>
      <xdr:row>6</xdr:row>
      <xdr:rowOff>114300</xdr:rowOff>
    </xdr:from>
    <xdr:to>
      <xdr:col>4</xdr:col>
      <xdr:colOff>864691</xdr:colOff>
      <xdr:row>11</xdr:row>
      <xdr:rowOff>76200</xdr:rowOff>
    </xdr:to>
    <xdr:pic macro="[0]!Create_Excel_Files">
      <xdr:nvPicPr>
        <xdr:cNvPr id="2" name="Picture 1" descr="Image result for excel ic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14525" y="1647825"/>
          <a:ext cx="931366" cy="9144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absolute">
    <xdr:from>
      <xdr:col>5</xdr:col>
      <xdr:colOff>695325</xdr:colOff>
      <xdr:row>6</xdr:row>
      <xdr:rowOff>114300</xdr:rowOff>
    </xdr:from>
    <xdr:to>
      <xdr:col>5</xdr:col>
      <xdr:colOff>1626691</xdr:colOff>
      <xdr:row>11</xdr:row>
      <xdr:rowOff>76200</xdr:rowOff>
    </xdr:to>
    <xdr:pic macro="[0]!Create_Word_Files">
      <xdr:nvPicPr>
        <xdr:cNvPr id="3" name="Picture 2" descr="Image result for word ic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724275" y="1647825"/>
          <a:ext cx="931366" cy="9144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absolute">
    <xdr:from>
      <xdr:col>5</xdr:col>
      <xdr:colOff>2505075</xdr:colOff>
      <xdr:row>6</xdr:row>
      <xdr:rowOff>114300</xdr:rowOff>
    </xdr:from>
    <xdr:to>
      <xdr:col>6</xdr:col>
      <xdr:colOff>49245</xdr:colOff>
      <xdr:row>11</xdr:row>
      <xdr:rowOff>76200</xdr:rowOff>
    </xdr:to>
    <xdr:pic macro="[0]!Create_PDF_Files">
      <xdr:nvPicPr>
        <xdr:cNvPr id="4" name="Picture 3" descr="Image result for pdf ic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534025" y="1647825"/>
          <a:ext cx="744570" cy="914400"/>
        </a:xfrm>
        <a:prstGeom prst="rect">
          <a:avLst/>
        </a:prstGeom>
        <a:noFill/>
        <a:ln>
          <a:prstDash val="solid"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YCAA%20Autom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Data"/>
      <sheetName val="Marksheet Template"/>
      <sheetName val="Setup"/>
    </sheetNames>
    <sheetDataSet>
      <sheetData sheetId="0"/>
      <sheetData sheetId="1"/>
      <sheetData sheetId="2"/>
      <sheetData sheetId="3">
        <row r="1">
          <cell r="A1" t="str">
            <v>Start Date</v>
          </cell>
          <cell r="B1" t="str">
            <v>Name</v>
          </cell>
          <cell r="C1" t="str">
            <v>Description</v>
          </cell>
        </row>
        <row r="2">
          <cell r="A2">
            <v>43903</v>
          </cell>
          <cell r="B2" t="str">
            <v>Akoua Vanessa mattox</v>
          </cell>
          <cell r="C2" t="str">
            <v>Child Day Care Management Cert Program</v>
          </cell>
        </row>
        <row r="3">
          <cell r="A3">
            <v>43906</v>
          </cell>
          <cell r="B3" t="str">
            <v>Gail Mancha</v>
          </cell>
          <cell r="C3" t="str">
            <v>Mental Health Technician Specialist Cert</v>
          </cell>
        </row>
        <row r="4">
          <cell r="A4">
            <v>43906</v>
          </cell>
          <cell r="B4" t="str">
            <v>Melissa Kelly</v>
          </cell>
          <cell r="C4" t="str">
            <v xml:space="preserve"> Clinical Medical Assistant with OB/GYN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paul.fears@psfinternationa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6"/>
  <sheetViews>
    <sheetView showGridLines="0" showRowColHeaders="0" workbookViewId="0">
      <selection activeCell="F4" sqref="F4"/>
    </sheetView>
  </sheetViews>
  <sheetFormatPr baseColWidth="10" defaultColWidth="0" defaultRowHeight="15" zeroHeight="1" x14ac:dyDescent="0.2"/>
  <cols>
    <col min="1" max="1" width="9.1640625" style="51" customWidth="1"/>
    <col min="2" max="2" width="6.1640625" style="51" customWidth="1"/>
    <col min="3" max="3" width="5.33203125" style="51" customWidth="1"/>
    <col min="4" max="4" width="9.1640625" style="51" customWidth="1"/>
    <col min="5" max="5" width="15.6640625" style="51" customWidth="1"/>
    <col min="6" max="6" width="48" style="51" customWidth="1"/>
    <col min="7" max="8" width="9.1640625" style="51" customWidth="1"/>
    <col min="9" max="9" width="9.1640625" style="51" hidden="1" customWidth="1"/>
    <col min="10" max="16384" width="9.1640625" style="51" hidden="1"/>
  </cols>
  <sheetData>
    <row r="1" spans="4:7" ht="45" customHeight="1" x14ac:dyDescent="0.2"/>
    <row r="2" spans="4:7" ht="16" customHeight="1" thickBot="1" x14ac:dyDescent="0.25"/>
    <row r="3" spans="4:7" x14ac:dyDescent="0.2">
      <c r="D3" s="12"/>
      <c r="E3" s="13"/>
      <c r="F3" s="13"/>
      <c r="G3" s="14"/>
    </row>
    <row r="4" spans="4:7" ht="15" customHeight="1" x14ac:dyDescent="0.2">
      <c r="D4" s="15"/>
      <c r="E4" s="16" t="s">
        <v>0</v>
      </c>
      <c r="F4" s="22" t="s">
        <v>1</v>
      </c>
      <c r="G4" s="17"/>
    </row>
    <row r="5" spans="4:7" ht="15" customHeight="1" x14ac:dyDescent="0.2">
      <c r="D5" s="15"/>
      <c r="E5" s="18"/>
      <c r="F5" s="18"/>
      <c r="G5" s="17"/>
    </row>
    <row r="6" spans="4:7" x14ac:dyDescent="0.2">
      <c r="D6" s="15"/>
      <c r="E6" s="18"/>
      <c r="F6" s="18"/>
      <c r="G6" s="17"/>
    </row>
    <row r="7" spans="4:7" x14ac:dyDescent="0.2">
      <c r="D7" s="15"/>
      <c r="E7" s="18"/>
      <c r="F7" s="18"/>
      <c r="G7" s="17"/>
    </row>
    <row r="8" spans="4:7" x14ac:dyDescent="0.2">
      <c r="D8" s="15"/>
      <c r="E8" s="18"/>
      <c r="F8" s="18"/>
      <c r="G8" s="17"/>
    </row>
    <row r="9" spans="4:7" x14ac:dyDescent="0.2">
      <c r="D9" s="15"/>
      <c r="E9" s="18"/>
      <c r="F9" s="18"/>
      <c r="G9" s="17"/>
    </row>
    <row r="10" spans="4:7" x14ac:dyDescent="0.2">
      <c r="D10" s="15"/>
      <c r="E10" s="18"/>
      <c r="F10" s="18"/>
      <c r="G10" s="17"/>
    </row>
    <row r="11" spans="4:7" x14ac:dyDescent="0.2">
      <c r="D11" s="15"/>
      <c r="E11" s="18"/>
      <c r="F11" s="18"/>
      <c r="G11" s="17"/>
    </row>
    <row r="12" spans="4:7" x14ac:dyDescent="0.2">
      <c r="D12" s="15"/>
      <c r="E12" s="18"/>
      <c r="F12" s="18"/>
      <c r="G12" s="17"/>
    </row>
    <row r="13" spans="4:7" x14ac:dyDescent="0.2">
      <c r="D13" s="15"/>
      <c r="E13" s="18"/>
      <c r="F13" s="18"/>
      <c r="G13" s="17"/>
    </row>
    <row r="14" spans="4:7" ht="16" customHeight="1" thickBot="1" x14ac:dyDescent="0.25">
      <c r="D14" s="19"/>
      <c r="E14" s="20"/>
      <c r="F14" s="20"/>
      <c r="G14" s="21"/>
    </row>
    <row r="16" spans="4:7" x14ac:dyDescent="0.2">
      <c r="F16" s="59"/>
      <c r="G16" s="60"/>
    </row>
  </sheetData>
  <mergeCells count="1">
    <mergeCell ref="F16:G1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4"/>
  <sheetViews>
    <sheetView showGridLines="0" tabSelected="1" workbookViewId="0">
      <selection activeCell="B11" sqref="B11:B12"/>
    </sheetView>
  </sheetViews>
  <sheetFormatPr baseColWidth="10" defaultColWidth="8.83203125" defaultRowHeight="15" outlineLevelCol="1" x14ac:dyDescent="0.2"/>
  <cols>
    <col min="1" max="1" width="15.6640625" style="51" customWidth="1"/>
    <col min="2" max="2" width="14.1640625" style="51" customWidth="1"/>
    <col min="3" max="3" width="15" style="51" customWidth="1"/>
    <col min="4" max="4" width="23.83203125" style="51" customWidth="1"/>
    <col min="5" max="6" width="15.6640625" style="51" customWidth="1" outlineLevel="1"/>
  </cols>
  <sheetData>
    <row r="1" spans="1:7" ht="15" customHeight="1" x14ac:dyDescent="0.2">
      <c r="A1" s="1" t="s">
        <v>2</v>
      </c>
      <c r="B1" s="1" t="s">
        <v>3</v>
      </c>
      <c r="C1" s="1" t="s">
        <v>4</v>
      </c>
      <c r="D1" s="1" t="s">
        <v>5</v>
      </c>
      <c r="E1" s="2" t="s">
        <v>6</v>
      </c>
      <c r="F1" s="30" t="s">
        <v>7</v>
      </c>
      <c r="G1" s="29"/>
    </row>
    <row r="2" spans="1:7" ht="15" customHeight="1" x14ac:dyDescent="0.2">
      <c r="A2" s="31">
        <v>43964</v>
      </c>
      <c r="B2" t="s">
        <v>8</v>
      </c>
      <c r="C2" t="s">
        <v>9</v>
      </c>
      <c r="D2" t="s">
        <v>10</v>
      </c>
      <c r="E2" s="26">
        <v>18</v>
      </c>
      <c r="F2" s="52">
        <v>5474.25</v>
      </c>
    </row>
    <row r="3" spans="1:7" ht="15" customHeight="1" x14ac:dyDescent="0.2">
      <c r="A3" s="31">
        <v>43971</v>
      </c>
      <c r="B3" t="s">
        <v>11</v>
      </c>
      <c r="C3" t="s">
        <v>12</v>
      </c>
      <c r="D3" t="s">
        <v>13</v>
      </c>
      <c r="E3" s="26">
        <v>20</v>
      </c>
      <c r="F3" s="53">
        <v>2050</v>
      </c>
    </row>
    <row r="4" spans="1:7" ht="15" customHeight="1" x14ac:dyDescent="0.2">
      <c r="A4" s="31">
        <v>43963</v>
      </c>
      <c r="B4" t="s">
        <v>14</v>
      </c>
      <c r="C4" t="s">
        <v>15</v>
      </c>
      <c r="D4" t="s">
        <v>13</v>
      </c>
      <c r="E4" s="26">
        <v>21</v>
      </c>
      <c r="F4" s="52">
        <v>1969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3"/>
  <sheetViews>
    <sheetView showGridLines="0" workbookViewId="0">
      <selection activeCell="D4" sqref="D4:D5"/>
    </sheetView>
  </sheetViews>
  <sheetFormatPr baseColWidth="10" defaultColWidth="8.83203125" defaultRowHeight="15" x14ac:dyDescent="0.2"/>
  <cols>
    <col min="1" max="1" width="3.5" style="51" customWidth="1"/>
    <col min="2" max="2" width="20.6640625" style="51" customWidth="1"/>
    <col min="3" max="3" width="49.1640625" style="51" customWidth="1"/>
    <col min="4" max="4" width="15.5" style="51" customWidth="1"/>
    <col min="5" max="5" width="22.33203125" style="51" customWidth="1"/>
    <col min="6" max="6" width="22.5" style="51" customWidth="1"/>
    <col min="7" max="7" width="10.5" style="51" customWidth="1"/>
    <col min="8" max="8" width="11.1640625" style="51" customWidth="1"/>
  </cols>
  <sheetData>
    <row r="1" spans="1:8" ht="30" customHeight="1" x14ac:dyDescent="0.2">
      <c r="A1" s="61" t="s">
        <v>16</v>
      </c>
      <c r="B1" s="60"/>
      <c r="C1" s="60"/>
      <c r="D1" s="60"/>
      <c r="E1" s="60"/>
      <c r="F1" s="60"/>
      <c r="G1" s="60"/>
    </row>
    <row r="2" spans="1:8" ht="19" customHeight="1" x14ac:dyDescent="0.2">
      <c r="A2" s="32"/>
      <c r="B2" s="33" t="s">
        <v>17</v>
      </c>
      <c r="C2" s="32"/>
      <c r="D2" s="32"/>
      <c r="E2" s="32"/>
      <c r="F2" s="32"/>
      <c r="G2" s="32"/>
    </row>
    <row r="3" spans="1:8" ht="17" customHeight="1" x14ac:dyDescent="0.2">
      <c r="A3" s="32"/>
      <c r="B3" s="33" t="s">
        <v>18</v>
      </c>
      <c r="C3" s="32"/>
      <c r="D3" s="32"/>
      <c r="E3" s="32"/>
      <c r="F3" s="32"/>
      <c r="G3" s="32"/>
      <c r="H3" s="34"/>
    </row>
    <row r="4" spans="1:8" ht="17" customHeight="1" x14ac:dyDescent="0.2">
      <c r="A4" s="32"/>
      <c r="B4" s="33" t="s">
        <v>19</v>
      </c>
      <c r="C4" s="32"/>
      <c r="D4" s="32"/>
      <c r="E4" s="32"/>
      <c r="F4" s="32"/>
      <c r="G4" s="32"/>
    </row>
    <row r="5" spans="1:8" s="24" customFormat="1" ht="39" customHeight="1" x14ac:dyDescent="0.2">
      <c r="A5" s="23"/>
      <c r="B5" s="35" t="s">
        <v>20</v>
      </c>
      <c r="C5" s="23"/>
      <c r="D5" s="23"/>
      <c r="E5" s="23"/>
      <c r="F5" s="23"/>
      <c r="G5" s="36" t="s">
        <v>21</v>
      </c>
      <c r="H5" s="37">
        <f ca="1">TODAY()</f>
        <v>43966</v>
      </c>
    </row>
    <row r="6" spans="1:8" ht="22" customHeight="1" x14ac:dyDescent="0.25">
      <c r="B6" s="38" t="s">
        <v>22</v>
      </c>
      <c r="C6" s="39" t="s">
        <v>23</v>
      </c>
      <c r="E6" s="38" t="s">
        <v>5</v>
      </c>
      <c r="F6" s="40" t="s">
        <v>24</v>
      </c>
    </row>
    <row r="7" spans="1:8" ht="23" customHeight="1" x14ac:dyDescent="0.25">
      <c r="B7" s="38" t="s">
        <v>25</v>
      </c>
      <c r="C7" s="39" t="s">
        <v>26</v>
      </c>
      <c r="E7" s="38" t="s">
        <v>27</v>
      </c>
      <c r="F7" s="55">
        <f>EDATE(B10,1)</f>
        <v>43934</v>
      </c>
    </row>
    <row r="9" spans="1:8" ht="21.75" customHeight="1" x14ac:dyDescent="0.2">
      <c r="B9" s="41" t="s">
        <v>2</v>
      </c>
      <c r="C9" s="42" t="s">
        <v>4</v>
      </c>
      <c r="D9" s="42" t="s">
        <v>28</v>
      </c>
      <c r="E9" s="42" t="s">
        <v>29</v>
      </c>
      <c r="F9" s="43" t="s">
        <v>30</v>
      </c>
    </row>
    <row r="10" spans="1:8" ht="21.75" customHeight="1" x14ac:dyDescent="0.2">
      <c r="B10" s="44">
        <v>43903</v>
      </c>
      <c r="C10" s="45" t="s">
        <v>31</v>
      </c>
      <c r="D10" s="45"/>
      <c r="E10" s="46" t="str">
        <f>IF(F6="MET",25%,IF(F6="AU ED4",25%,IF(F6="UWLAX",30%,IF(F6="CSU",25%,IF(F6="AU M",25%,"")))))</f>
        <v/>
      </c>
      <c r="F10" s="56">
        <v>577.15</v>
      </c>
    </row>
    <row r="11" spans="1:8" ht="21.75" customHeight="1" x14ac:dyDescent="0.2">
      <c r="B11" s="3"/>
      <c r="C11" s="45"/>
      <c r="D11" s="5"/>
      <c r="E11" s="5"/>
      <c r="F11" s="57"/>
    </row>
    <row r="12" spans="1:8" ht="21.75" customHeight="1" x14ac:dyDescent="0.2">
      <c r="B12" s="3"/>
      <c r="C12" s="5"/>
      <c r="D12" s="5"/>
      <c r="E12" s="5"/>
      <c r="F12" s="7"/>
    </row>
    <row r="13" spans="1:8" ht="21.75" customHeight="1" x14ac:dyDescent="0.2">
      <c r="B13" s="3"/>
      <c r="C13" s="5"/>
      <c r="D13" s="5"/>
      <c r="E13" s="5"/>
      <c r="F13" s="7"/>
    </row>
    <row r="14" spans="1:8" ht="21.75" customHeight="1" x14ac:dyDescent="0.2">
      <c r="B14" s="3"/>
      <c r="C14" s="5"/>
      <c r="D14" s="5"/>
      <c r="E14" s="5"/>
      <c r="F14" s="7"/>
    </row>
    <row r="15" spans="1:8" ht="21.75" customHeight="1" thickBot="1" x14ac:dyDescent="0.25">
      <c r="B15" s="4"/>
      <c r="C15" s="6"/>
      <c r="D15" s="6"/>
      <c r="E15" s="6"/>
      <c r="F15" s="8"/>
    </row>
    <row r="16" spans="1:8" ht="21.75" customHeight="1" thickTop="1" x14ac:dyDescent="0.2">
      <c r="B16" s="9"/>
      <c r="C16" s="10"/>
      <c r="D16" s="10"/>
      <c r="E16" s="10" t="str">
        <f>IFERROR(VLOOKUP(D16/C16,[1]Setup!$A$1:$C$4,2,1),"")</f>
        <v/>
      </c>
      <c r="F16" s="11" t="str">
        <f>IFERROR(VLOOKUP(D16/C16,[1]Setup!$A$1:$C$4,3,1),"")</f>
        <v/>
      </c>
    </row>
    <row r="19" spans="2:6" ht="21" customHeight="1" x14ac:dyDescent="0.25">
      <c r="B19" s="38" t="s">
        <v>32</v>
      </c>
      <c r="C19" s="47" t="s">
        <v>33</v>
      </c>
      <c r="D19" s="48"/>
      <c r="E19" s="38" t="s">
        <v>7</v>
      </c>
      <c r="F19" s="58">
        <f>SUM(F10:F18)</f>
        <v>577.15</v>
      </c>
    </row>
    <row r="22" spans="2:6" ht="19" customHeight="1" x14ac:dyDescent="0.25">
      <c r="B22" s="49"/>
      <c r="C22" s="50" t="s">
        <v>34</v>
      </c>
      <c r="D22" s="49"/>
      <c r="E22" s="26"/>
      <c r="F22" s="49"/>
    </row>
    <row r="23" spans="2:6" ht="19" customHeight="1" x14ac:dyDescent="0.25">
      <c r="C23" s="50" t="s">
        <v>35</v>
      </c>
    </row>
  </sheetData>
  <mergeCells count="1">
    <mergeCell ref="A1:G1"/>
  </mergeCells>
  <hyperlinks>
    <hyperlink ref="B5" r:id="rId1" xr:uid="{00000000-0004-0000-0200-000000000000}"/>
  </hyperlinks>
  <pageMargins left="0.7" right="0.7" top="0.75" bottom="0.75" header="0.3" footer="0.3"/>
  <pageSetup paperSize="8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W42"/>
  <sheetViews>
    <sheetView showGridLines="0" workbookViewId="0">
      <selection activeCell="C9" sqref="C9"/>
    </sheetView>
  </sheetViews>
  <sheetFormatPr baseColWidth="10" defaultColWidth="8.83203125" defaultRowHeight="15" x14ac:dyDescent="0.2"/>
  <cols>
    <col min="1" max="1" width="15.6640625" style="51" customWidth="1"/>
    <col min="2" max="2" width="22.83203125" style="51" customWidth="1"/>
    <col min="3" max="3" width="44.5" style="51" customWidth="1"/>
    <col min="4" max="4" width="26.83203125" style="51" customWidth="1"/>
    <col min="5" max="5" width="20" style="51" customWidth="1"/>
    <col min="6" max="6" width="25.83203125" style="51" customWidth="1"/>
  </cols>
  <sheetData>
    <row r="1" spans="1:23" ht="15" customHeight="1" x14ac:dyDescent="0.2">
      <c r="A1" s="25" t="s">
        <v>2</v>
      </c>
      <c r="B1" s="25" t="s">
        <v>3</v>
      </c>
      <c r="C1" s="25" t="s">
        <v>4</v>
      </c>
      <c r="D1" s="25" t="s">
        <v>5</v>
      </c>
      <c r="E1" s="2" t="s">
        <v>6</v>
      </c>
      <c r="F1" s="2" t="s">
        <v>7</v>
      </c>
    </row>
    <row r="2" spans="1:23" x14ac:dyDescent="0.2">
      <c r="A2" s="31">
        <v>43964</v>
      </c>
      <c r="B2" t="s">
        <v>8</v>
      </c>
      <c r="C2" t="s">
        <v>9</v>
      </c>
      <c r="D2" t="s">
        <v>10</v>
      </c>
      <c r="E2" s="26">
        <v>18</v>
      </c>
      <c r="F2" s="54">
        <v>5474.25</v>
      </c>
      <c r="G2" t="s">
        <v>8</v>
      </c>
    </row>
    <row r="3" spans="1:23" x14ac:dyDescent="0.2">
      <c r="A3" s="31">
        <v>43971</v>
      </c>
      <c r="B3" t="s">
        <v>11</v>
      </c>
      <c r="C3" t="s">
        <v>12</v>
      </c>
      <c r="D3" t="s">
        <v>13</v>
      </c>
      <c r="E3" s="26">
        <v>20</v>
      </c>
      <c r="F3" s="54">
        <v>2050</v>
      </c>
      <c r="G3" t="s">
        <v>11</v>
      </c>
      <c r="H3" s="54"/>
      <c r="I3" s="52"/>
      <c r="J3" s="52"/>
      <c r="K3" s="52"/>
      <c r="L3" s="52"/>
      <c r="M3" s="53"/>
      <c r="N3" s="53"/>
      <c r="O3" s="53"/>
      <c r="Q3" s="52"/>
      <c r="R3" s="52"/>
      <c r="S3" s="28"/>
      <c r="T3" s="28"/>
      <c r="U3" s="28"/>
      <c r="V3" s="28"/>
      <c r="W3" s="28"/>
    </row>
    <row r="4" spans="1:23" x14ac:dyDescent="0.2">
      <c r="A4" s="31">
        <v>43963</v>
      </c>
      <c r="B4" t="s">
        <v>14</v>
      </c>
      <c r="C4" t="s">
        <v>15</v>
      </c>
      <c r="D4" t="s">
        <v>13</v>
      </c>
      <c r="E4" s="26">
        <v>21</v>
      </c>
      <c r="F4" s="54">
        <v>1969</v>
      </c>
      <c r="G4" s="54" t="s">
        <v>14</v>
      </c>
      <c r="I4" s="52"/>
      <c r="J4" s="52"/>
      <c r="K4" s="52"/>
      <c r="L4" s="52"/>
      <c r="M4" s="52"/>
      <c r="N4" s="53"/>
      <c r="O4" s="53"/>
      <c r="P4" s="53"/>
      <c r="Q4" s="53"/>
      <c r="R4" s="53"/>
      <c r="S4" s="52"/>
      <c r="T4" s="52"/>
      <c r="U4" s="28"/>
      <c r="V4" s="28"/>
      <c r="W4" s="28"/>
    </row>
    <row r="5" spans="1:23" x14ac:dyDescent="0.2">
      <c r="A5" s="52"/>
      <c r="B5" s="52"/>
      <c r="C5" s="52"/>
      <c r="D5" s="52"/>
      <c r="E5" s="52"/>
      <c r="F5"/>
      <c r="G5" s="52"/>
      <c r="H5" s="52"/>
      <c r="I5" s="28"/>
      <c r="J5" s="28"/>
      <c r="K5" s="28"/>
      <c r="L5" s="28"/>
      <c r="M5" s="28"/>
    </row>
    <row r="6" spans="1:23" x14ac:dyDescent="0.2">
      <c r="A6"/>
      <c r="B6"/>
      <c r="C6"/>
      <c r="D6"/>
      <c r="E6"/>
      <c r="F6"/>
    </row>
    <row r="7" spans="1:23" x14ac:dyDescent="0.2">
      <c r="A7"/>
      <c r="B7"/>
      <c r="C7"/>
      <c r="D7"/>
      <c r="E7"/>
      <c r="F7"/>
    </row>
    <row r="8" spans="1:23" x14ac:dyDescent="0.2">
      <c r="A8"/>
      <c r="B8"/>
      <c r="C8"/>
      <c r="D8"/>
      <c r="E8"/>
      <c r="F8"/>
    </row>
    <row r="9" spans="1:23" x14ac:dyDescent="0.2">
      <c r="A9"/>
      <c r="B9"/>
      <c r="C9"/>
      <c r="D9"/>
      <c r="E9"/>
      <c r="F9"/>
    </row>
    <row r="10" spans="1:23" x14ac:dyDescent="0.2">
      <c r="A10"/>
      <c r="B10"/>
      <c r="C10"/>
      <c r="D10"/>
      <c r="E10"/>
      <c r="F10"/>
    </row>
    <row r="11" spans="1:23" x14ac:dyDescent="0.2">
      <c r="A11"/>
      <c r="B11"/>
      <c r="C11"/>
      <c r="D11"/>
      <c r="E11"/>
      <c r="F11"/>
    </row>
    <row r="12" spans="1:23" x14ac:dyDescent="0.2">
      <c r="A12"/>
      <c r="B12"/>
      <c r="C12"/>
      <c r="D12"/>
      <c r="E12"/>
      <c r="F12"/>
    </row>
    <row r="13" spans="1:23" x14ac:dyDescent="0.2">
      <c r="A13"/>
      <c r="B13"/>
      <c r="C13"/>
      <c r="D13"/>
      <c r="E13"/>
      <c r="F13"/>
    </row>
    <row r="14" spans="1:23" x14ac:dyDescent="0.2">
      <c r="A14"/>
      <c r="B14"/>
      <c r="C14"/>
      <c r="D14"/>
      <c r="E14"/>
      <c r="F14"/>
    </row>
    <row r="15" spans="1:23" x14ac:dyDescent="0.2">
      <c r="A15"/>
      <c r="B15"/>
      <c r="C15"/>
      <c r="D15"/>
      <c r="E15"/>
      <c r="F15"/>
    </row>
    <row r="16" spans="1:23" x14ac:dyDescent="0.2">
      <c r="A16"/>
      <c r="B16"/>
      <c r="C16"/>
      <c r="D16"/>
      <c r="E16"/>
      <c r="F16"/>
    </row>
    <row r="17" spans="1:6" x14ac:dyDescent="0.2">
      <c r="A17"/>
      <c r="B17"/>
      <c r="C17"/>
      <c r="D17"/>
      <c r="E17"/>
      <c r="F17"/>
    </row>
    <row r="18" spans="1:6" x14ac:dyDescent="0.2">
      <c r="A18"/>
      <c r="B18"/>
      <c r="C18"/>
      <c r="D18"/>
      <c r="E18"/>
      <c r="F18"/>
    </row>
    <row r="19" spans="1:6" x14ac:dyDescent="0.2">
      <c r="A19"/>
      <c r="B19"/>
      <c r="C19"/>
      <c r="D19"/>
      <c r="E19"/>
      <c r="F19"/>
    </row>
    <row r="20" spans="1:6" x14ac:dyDescent="0.2">
      <c r="A20"/>
      <c r="B20"/>
      <c r="C20"/>
      <c r="D20"/>
      <c r="E20"/>
      <c r="F20"/>
    </row>
    <row r="21" spans="1:6" x14ac:dyDescent="0.2">
      <c r="A21"/>
      <c r="B21"/>
      <c r="C21"/>
      <c r="D21"/>
      <c r="E21"/>
      <c r="F21"/>
    </row>
    <row r="22" spans="1:6" x14ac:dyDescent="0.2">
      <c r="A22"/>
      <c r="B22"/>
      <c r="C22"/>
      <c r="D22"/>
      <c r="E22"/>
      <c r="F22"/>
    </row>
    <row r="23" spans="1:6" x14ac:dyDescent="0.2">
      <c r="A23"/>
      <c r="B23"/>
      <c r="C23"/>
      <c r="D23"/>
      <c r="E23"/>
      <c r="F23"/>
    </row>
    <row r="24" spans="1:6" x14ac:dyDescent="0.2">
      <c r="A24"/>
      <c r="B24"/>
      <c r="C24"/>
      <c r="D24"/>
      <c r="E24"/>
      <c r="F24"/>
    </row>
    <row r="25" spans="1:6" x14ac:dyDescent="0.2">
      <c r="A25"/>
      <c r="B25"/>
      <c r="C25"/>
      <c r="D25"/>
      <c r="E25"/>
      <c r="F25"/>
    </row>
    <row r="26" spans="1:6" x14ac:dyDescent="0.2">
      <c r="A26"/>
      <c r="B26"/>
      <c r="C26"/>
      <c r="D26"/>
      <c r="E26"/>
      <c r="F26"/>
    </row>
    <row r="27" spans="1:6" x14ac:dyDescent="0.2">
      <c r="A27" s="31"/>
      <c r="E27" s="26"/>
      <c r="F27" s="54"/>
    </row>
    <row r="28" spans="1:6" x14ac:dyDescent="0.2">
      <c r="A28" s="31"/>
      <c r="E28" s="26"/>
      <c r="F28" s="54"/>
    </row>
    <row r="29" spans="1:6" x14ac:dyDescent="0.2">
      <c r="A29" s="31"/>
      <c r="E29" s="26"/>
      <c r="F29" s="54"/>
    </row>
    <row r="30" spans="1:6" x14ac:dyDescent="0.2">
      <c r="A30" s="31"/>
      <c r="E30" s="26"/>
      <c r="F30" s="54"/>
    </row>
    <row r="31" spans="1:6" x14ac:dyDescent="0.2">
      <c r="A31" s="31"/>
      <c r="E31" s="26"/>
      <c r="F31" s="54"/>
    </row>
    <row r="32" spans="1:6" x14ac:dyDescent="0.2">
      <c r="A32" s="31"/>
      <c r="D32" s="27"/>
      <c r="E32" s="26"/>
      <c r="F32" s="54"/>
    </row>
    <row r="33" spans="1:7" x14ac:dyDescent="0.2">
      <c r="A33" s="31"/>
      <c r="E33" s="26"/>
      <c r="F33" s="54"/>
    </row>
    <row r="34" spans="1:7" x14ac:dyDescent="0.2">
      <c r="A34" s="31"/>
      <c r="E34" s="26"/>
      <c r="F34" s="54"/>
      <c r="G34" s="54"/>
    </row>
    <row r="35" spans="1:7" x14ac:dyDescent="0.2">
      <c r="A35" s="31"/>
      <c r="E35" s="26"/>
      <c r="F35" s="54"/>
      <c r="G35" s="54"/>
    </row>
    <row r="36" spans="1:7" x14ac:dyDescent="0.2">
      <c r="A36" s="31"/>
      <c r="D36" s="27"/>
      <c r="E36" s="26"/>
      <c r="F36" s="54"/>
      <c r="G36" s="54"/>
    </row>
    <row r="37" spans="1:7" x14ac:dyDescent="0.2">
      <c r="A37" s="31"/>
      <c r="E37" s="26"/>
      <c r="F37" s="54"/>
    </row>
    <row r="38" spans="1:7" x14ac:dyDescent="0.2">
      <c r="A38" s="31"/>
      <c r="E38" s="26"/>
      <c r="F38" s="54"/>
    </row>
    <row r="39" spans="1:7" x14ac:dyDescent="0.2">
      <c r="A39" s="31"/>
      <c r="D39" s="27"/>
      <c r="E39" s="26"/>
      <c r="F39" s="54"/>
    </row>
    <row r="40" spans="1:7" x14ac:dyDescent="0.2">
      <c r="A40" s="31"/>
      <c r="E40" s="26"/>
      <c r="F40" s="54"/>
    </row>
    <row r="41" spans="1:7" x14ac:dyDescent="0.2">
      <c r="A41" s="31"/>
      <c r="E41" s="26"/>
      <c r="F41" s="54"/>
    </row>
    <row r="42" spans="1:7" x14ac:dyDescent="0.2">
      <c r="A42" s="31"/>
      <c r="E42" s="26"/>
      <c r="F42" s="54"/>
    </row>
  </sheetData>
  <conditionalFormatting sqref="H2:R2 A2:F2">
    <cfRule type="expression" dxfId="34" priority="44">
      <formula>$E2="UWLAX"</formula>
    </cfRule>
    <cfRule type="expression" dxfId="33" priority="45">
      <formula>$E2="UNH"</formula>
    </cfRule>
    <cfRule type="expression" dxfId="32" priority="46">
      <formula>$E2="CSU"</formula>
    </cfRule>
    <cfRule type="expression" dxfId="31" priority="47">
      <formula>$E2="LSU"</formula>
    </cfRule>
    <cfRule type="expression" dxfId="30" priority="48">
      <formula>$E2="MSU"</formula>
    </cfRule>
    <cfRule type="expression" dxfId="29" priority="49">
      <formula>$E2="WKU"</formula>
    </cfRule>
    <cfRule type="expression" dxfId="28" priority="50">
      <formula>$E2="CLEM"</formula>
    </cfRule>
    <cfRule type="expression" dxfId="27" priority="51">
      <formula>$E2="TAMU"</formula>
    </cfRule>
  </conditionalFormatting>
  <conditionalFormatting sqref="A3:D4">
    <cfRule type="expression" dxfId="26" priority="10">
      <formula>#REF!="MET"</formula>
    </cfRule>
    <cfRule type="expression" dxfId="25" priority="11">
      <formula>#REF!="UWLAX"</formula>
    </cfRule>
    <cfRule type="expression" dxfId="24" priority="12">
      <formula>#REF!="UNH"</formula>
    </cfRule>
    <cfRule type="expression" dxfId="23" priority="13">
      <formula>#REF!="CSU"</formula>
    </cfRule>
    <cfRule type="expression" dxfId="22" priority="14">
      <formula>#REF!="LSU"</formula>
    </cfRule>
    <cfRule type="expression" dxfId="21" priority="15">
      <formula>#REF!="MSU"</formula>
    </cfRule>
    <cfRule type="expression" dxfId="20" priority="16">
      <formula>#REF!="WKU"</formula>
    </cfRule>
    <cfRule type="expression" dxfId="19" priority="17">
      <formula>#REF!="CLEM"</formula>
    </cfRule>
    <cfRule type="expression" dxfId="18" priority="18">
      <formula>#REF!="TAMU"</formula>
    </cfRule>
  </conditionalFormatting>
  <conditionalFormatting sqref="B3:C4 H3 F3 F4:G4">
    <cfRule type="expression" dxfId="17" priority="19">
      <formula>#REF!="MET"</formula>
    </cfRule>
    <cfRule type="expression" dxfId="16" priority="20">
      <formula>#REF!="UWLAX"</formula>
    </cfRule>
    <cfRule type="expression" dxfId="15" priority="21">
      <formula>#REF!="UNH"</formula>
    </cfRule>
    <cfRule type="expression" dxfId="14" priority="22">
      <formula>#REF!="CSU"</formula>
    </cfRule>
    <cfRule type="expression" dxfId="13" priority="23">
      <formula>#REF!="LSU"</formula>
    </cfRule>
    <cfRule type="expression" dxfId="12" priority="24">
      <formula>#REF!="MSU"</formula>
    </cfRule>
    <cfRule type="expression" dxfId="11" priority="25">
      <formula>#REF!="WKU"</formula>
    </cfRule>
    <cfRule type="expression" dxfId="10" priority="26">
      <formula>#REF!="CLEM"</formula>
    </cfRule>
    <cfRule type="expression" dxfId="9" priority="27">
      <formula>#REF!="TAMU"</formula>
    </cfRule>
  </conditionalFormatting>
  <conditionalFormatting sqref="E3:E4">
    <cfRule type="expression" dxfId="8" priority="52">
      <formula>$E3="MET"</formula>
    </cfRule>
    <cfRule type="expression" dxfId="7" priority="53">
      <formula>$E3="UWLAX"</formula>
    </cfRule>
    <cfRule type="expression" dxfId="6" priority="54">
      <formula>$E3="UNH"</formula>
    </cfRule>
    <cfRule type="expression" dxfId="5" priority="55">
      <formula>$E3="CSU"</formula>
    </cfRule>
    <cfRule type="expression" dxfId="4" priority="56">
      <formula>$E3="LSU"</formula>
    </cfRule>
    <cfRule type="expression" dxfId="3" priority="57">
      <formula>$E3="MSU"</formula>
    </cfRule>
    <cfRule type="expression" dxfId="2" priority="58">
      <formula>$E3="WKU"</formula>
    </cfRule>
    <cfRule type="expression" dxfId="1" priority="59">
      <formula>$E3="CLEM"</formula>
    </cfRule>
    <cfRule type="expression" dxfId="0" priority="60">
      <formula>$E3="TAMU"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Settings</vt:lpstr>
      <vt:lpstr>Data</vt:lpstr>
      <vt:lpstr>Marksheet Template</vt:lpstr>
      <vt:lpstr>Setup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Priyendra.Kumar</dc:creator>
  <cp:lastModifiedBy>Jon Gregis</cp:lastModifiedBy>
  <cp:lastPrinted>2020-03-26T00:02:10Z</cp:lastPrinted>
  <dcterms:created xsi:type="dcterms:W3CDTF">2019-10-27T11:35:05Z</dcterms:created>
  <dcterms:modified xsi:type="dcterms:W3CDTF">2020-05-15T21:05:12Z</dcterms:modified>
</cp:coreProperties>
</file>